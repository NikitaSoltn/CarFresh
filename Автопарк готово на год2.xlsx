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341C8E2-238A-4926-AC3F-3D4E8D6E8473}" xr6:coauthVersionLast="47" xr6:coauthVersionMax="47" xr10:uidLastSave="{00000000-0000-0000-0000-000000000000}"/>
  <bookViews>
    <workbookView xWindow="-108" yWindow="-108" windowWidth="30936" windowHeight="19416" firstSheet="1" activeTab="10" xr2:uid="{00000000-000D-0000-FFFF-FFFF00000000}"/>
  </bookViews>
  <sheets>
    <sheet name="Февраль 2026" sheetId="1" r:id="rId1"/>
    <sheet name="Март 2026" sheetId="2" r:id="rId2"/>
    <sheet name="Апрель 2026" sheetId="3" r:id="rId3"/>
    <sheet name="Май 2026" sheetId="4" r:id="rId4"/>
    <sheet name="Июнь 2026" sheetId="5" r:id="rId5"/>
    <sheet name="Июль 2026" sheetId="6" r:id="rId6"/>
    <sheet name="Август 2026" sheetId="7" r:id="rId7"/>
    <sheet name="Сентябрь 2026" sheetId="8" r:id="rId8"/>
    <sheet name="Оетябрь 2026" sheetId="9" r:id="rId9"/>
    <sheet name="Ноябрь 2026" sheetId="10" r:id="rId10"/>
    <sheet name="Декабрь 2026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4" i="11" l="1" a="1"/>
  <c r="U34" i="11" s="1"/>
  <c r="T35" i="11" a="1"/>
  <c r="T35" i="11" s="1"/>
  <c r="S35" i="11" a="1"/>
  <c r="S35" i="11" s="1"/>
  <c r="U35" i="11" s="1" a="1"/>
  <c r="U35" i="11" s="1"/>
  <c r="R35" i="11"/>
  <c r="U33" i="11"/>
  <c r="U33" i="11" a="1"/>
  <c r="U32" i="11"/>
  <c r="U32" i="11" a="1"/>
  <c r="U31" i="11"/>
  <c r="U31" i="11" a="1"/>
  <c r="U30" i="11"/>
  <c r="U30" i="11" a="1"/>
  <c r="U29" i="11"/>
  <c r="U29" i="11" a="1"/>
  <c r="U28" i="11"/>
  <c r="U28" i="11" a="1"/>
  <c r="U27" i="11"/>
  <c r="U27" i="11" a="1"/>
  <c r="U26" i="11"/>
  <c r="U26" i="11" a="1"/>
  <c r="U25" i="11"/>
  <c r="U25" i="11" a="1"/>
  <c r="U24" i="11" a="1"/>
  <c r="U24" i="11" s="1"/>
  <c r="U23" i="11"/>
  <c r="U23" i="11" a="1"/>
  <c r="U22" i="11" a="1"/>
  <c r="U22" i="11" s="1"/>
  <c r="U21" i="11"/>
  <c r="U21" i="11" a="1"/>
  <c r="U20" i="11" a="1"/>
  <c r="U20" i="11" s="1"/>
  <c r="U19" i="11"/>
  <c r="U19" i="11" a="1"/>
  <c r="U18" i="11" a="1"/>
  <c r="U18" i="11" s="1"/>
  <c r="U17" i="11"/>
  <c r="U17" i="11" a="1"/>
  <c r="U16" i="11" a="1"/>
  <c r="U16" i="11" s="1"/>
  <c r="U15" i="11"/>
  <c r="U15" i="11" a="1"/>
  <c r="U14" i="11" a="1"/>
  <c r="U14" i="11" s="1"/>
  <c r="U13" i="11"/>
  <c r="U13" i="11" a="1"/>
  <c r="U12" i="11" a="1"/>
  <c r="U12" i="11" s="1"/>
  <c r="U11" i="11"/>
  <c r="U11" i="11" a="1"/>
  <c r="U10" i="11" a="1"/>
  <c r="U10" i="11" s="1"/>
  <c r="U9" i="11"/>
  <c r="U9" i="11" a="1"/>
  <c r="U8" i="11" a="1"/>
  <c r="U8" i="11" s="1"/>
  <c r="U7" i="11"/>
  <c r="U7" i="11" a="1"/>
  <c r="U6" i="11" a="1"/>
  <c r="U6" i="11" s="1"/>
  <c r="U5" i="11"/>
  <c r="U5" i="11" a="1"/>
  <c r="U4" i="11" a="1"/>
  <c r="U4" i="11" s="1"/>
  <c r="T34" i="10" a="1"/>
  <c r="T34" i="10" s="1"/>
  <c r="S34" i="10" a="1"/>
  <c r="S34" i="10" s="1"/>
  <c r="R34" i="10"/>
  <c r="U34" i="10" s="1" a="1"/>
  <c r="U34" i="10" s="1"/>
  <c r="U33" i="10"/>
  <c r="U33" i="10" a="1"/>
  <c r="U32" i="10" a="1"/>
  <c r="U32" i="10" s="1"/>
  <c r="U31" i="10"/>
  <c r="U31" i="10" a="1"/>
  <c r="U30" i="10" a="1"/>
  <c r="U30" i="10" s="1"/>
  <c r="U29" i="10"/>
  <c r="U29" i="10" a="1"/>
  <c r="U28" i="10" a="1"/>
  <c r="U28" i="10" s="1"/>
  <c r="U27" i="10"/>
  <c r="U27" i="10" a="1"/>
  <c r="U26" i="10" a="1"/>
  <c r="U26" i="10" s="1"/>
  <c r="U25" i="10"/>
  <c r="U25" i="10" a="1"/>
  <c r="U24" i="10" a="1"/>
  <c r="U24" i="10" s="1"/>
  <c r="U23" i="10"/>
  <c r="U23" i="10" a="1"/>
  <c r="U22" i="10" a="1"/>
  <c r="U22" i="10" s="1"/>
  <c r="U21" i="10"/>
  <c r="U21" i="10" a="1"/>
  <c r="U20" i="10" a="1"/>
  <c r="U20" i="10" s="1"/>
  <c r="U19" i="10"/>
  <c r="U19" i="10" a="1"/>
  <c r="U18" i="10" a="1"/>
  <c r="U18" i="10" s="1"/>
  <c r="U17" i="10"/>
  <c r="U17" i="10" a="1"/>
  <c r="U16" i="10" a="1"/>
  <c r="U16" i="10" s="1"/>
  <c r="U15" i="10"/>
  <c r="U15" i="10" a="1"/>
  <c r="U14" i="10" a="1"/>
  <c r="U14" i="10" s="1"/>
  <c r="U13" i="10"/>
  <c r="U13" i="10" a="1"/>
  <c r="U12" i="10" a="1"/>
  <c r="U12" i="10" s="1"/>
  <c r="U11" i="10"/>
  <c r="U11" i="10" a="1"/>
  <c r="U10" i="10" a="1"/>
  <c r="U10" i="10" s="1"/>
  <c r="U9" i="10"/>
  <c r="U9" i="10" a="1"/>
  <c r="U8" i="10" a="1"/>
  <c r="U8" i="10" s="1"/>
  <c r="U7" i="10"/>
  <c r="U7" i="10" a="1"/>
  <c r="U6" i="10" a="1"/>
  <c r="U6" i="10" s="1"/>
  <c r="U5" i="10"/>
  <c r="U5" i="10" a="1"/>
  <c r="U4" i="10" a="1"/>
  <c r="U4" i="10" s="1"/>
  <c r="U34" i="9" a="1"/>
  <c r="U34" i="9" s="1"/>
  <c r="T35" i="9" a="1"/>
  <c r="T35" i="9" s="1"/>
  <c r="S35" i="9" a="1"/>
  <c r="S35" i="9" s="1"/>
  <c r="R35" i="9"/>
  <c r="U33" i="9" a="1"/>
  <c r="U33" i="9" s="1"/>
  <c r="U32" i="9" a="1"/>
  <c r="U32" i="9" s="1"/>
  <c r="U31" i="9" a="1"/>
  <c r="U31" i="9" s="1"/>
  <c r="U30" i="9" a="1"/>
  <c r="U30" i="9" s="1"/>
  <c r="U29" i="9" a="1"/>
  <c r="U29" i="9" s="1"/>
  <c r="U28" i="9" a="1"/>
  <c r="U28" i="9" s="1"/>
  <c r="U27" i="9" a="1"/>
  <c r="U27" i="9" s="1"/>
  <c r="U26" i="9" a="1"/>
  <c r="U26" i="9" s="1"/>
  <c r="U25" i="9" a="1"/>
  <c r="U25" i="9" s="1"/>
  <c r="U24" i="9" a="1"/>
  <c r="U24" i="9" s="1"/>
  <c r="U23" i="9" a="1"/>
  <c r="U23" i="9" s="1"/>
  <c r="U22" i="9" a="1"/>
  <c r="U22" i="9" s="1"/>
  <c r="U21" i="9" a="1"/>
  <c r="U21" i="9" s="1"/>
  <c r="U20" i="9" a="1"/>
  <c r="U20" i="9" s="1"/>
  <c r="U19" i="9" a="1"/>
  <c r="U19" i="9" s="1"/>
  <c r="U18" i="9" a="1"/>
  <c r="U18" i="9" s="1"/>
  <c r="U17" i="9" a="1"/>
  <c r="U17" i="9" s="1"/>
  <c r="U16" i="9" a="1"/>
  <c r="U16" i="9" s="1"/>
  <c r="U15" i="9" a="1"/>
  <c r="U15" i="9" s="1"/>
  <c r="U14" i="9" a="1"/>
  <c r="U14" i="9" s="1"/>
  <c r="U13" i="9" a="1"/>
  <c r="U13" i="9" s="1"/>
  <c r="U12" i="9" a="1"/>
  <c r="U12" i="9" s="1"/>
  <c r="U11" i="9" a="1"/>
  <c r="U11" i="9" s="1"/>
  <c r="U10" i="9" a="1"/>
  <c r="U10" i="9" s="1"/>
  <c r="U9" i="9" a="1"/>
  <c r="U9" i="9" s="1"/>
  <c r="U8" i="9" a="1"/>
  <c r="U8" i="9" s="1"/>
  <c r="U7" i="9" a="1"/>
  <c r="U7" i="9" s="1"/>
  <c r="U6" i="9" a="1"/>
  <c r="U6" i="9" s="1"/>
  <c r="U5" i="9" a="1"/>
  <c r="U5" i="9" s="1"/>
  <c r="U4" i="9" a="1"/>
  <c r="U4" i="9" s="1"/>
  <c r="T34" i="8" a="1"/>
  <c r="T34" i="8" s="1"/>
  <c r="S34" i="8" a="1"/>
  <c r="S34" i="8" s="1"/>
  <c r="R34" i="8"/>
  <c r="U34" i="8" s="1" a="1"/>
  <c r="U34" i="8" s="1"/>
  <c r="U33" i="8"/>
  <c r="U33" i="8" a="1"/>
  <c r="U32" i="8" a="1"/>
  <c r="U32" i="8" s="1"/>
  <c r="U31" i="8" a="1"/>
  <c r="U31" i="8" s="1"/>
  <c r="U30" i="8" a="1"/>
  <c r="U30" i="8" s="1"/>
  <c r="U29" i="8" a="1"/>
  <c r="U29" i="8" s="1"/>
  <c r="U28" i="8" a="1"/>
  <c r="U28" i="8" s="1"/>
  <c r="U27" i="8" a="1"/>
  <c r="U27" i="8" s="1"/>
  <c r="U26" i="8" a="1"/>
  <c r="U26" i="8" s="1"/>
  <c r="U25" i="8"/>
  <c r="U25" i="8" a="1"/>
  <c r="U24" i="8" a="1"/>
  <c r="U24" i="8" s="1"/>
  <c r="U23" i="8" a="1"/>
  <c r="U23" i="8" s="1"/>
  <c r="U22" i="8" a="1"/>
  <c r="U22" i="8" s="1"/>
  <c r="U21" i="8" a="1"/>
  <c r="U21" i="8" s="1"/>
  <c r="U20" i="8" a="1"/>
  <c r="U20" i="8" s="1"/>
  <c r="U19" i="8" a="1"/>
  <c r="U19" i="8" s="1"/>
  <c r="U18" i="8" a="1"/>
  <c r="U18" i="8" s="1"/>
  <c r="U17" i="8"/>
  <c r="U17" i="8" a="1"/>
  <c r="U16" i="8" a="1"/>
  <c r="U16" i="8" s="1"/>
  <c r="U15" i="8" a="1"/>
  <c r="U15" i="8" s="1"/>
  <c r="U14" i="8" a="1"/>
  <c r="U14" i="8" s="1"/>
  <c r="U13" i="8" a="1"/>
  <c r="U13" i="8" s="1"/>
  <c r="U12" i="8" a="1"/>
  <c r="U12" i="8" s="1"/>
  <c r="U11" i="8" a="1"/>
  <c r="U11" i="8" s="1"/>
  <c r="U10" i="8" a="1"/>
  <c r="U10" i="8" s="1"/>
  <c r="U9" i="8"/>
  <c r="U9" i="8" a="1"/>
  <c r="U8" i="8" a="1"/>
  <c r="U8" i="8" s="1"/>
  <c r="U7" i="8" a="1"/>
  <c r="U7" i="8" s="1"/>
  <c r="U6" i="8" a="1"/>
  <c r="U6" i="8" s="1"/>
  <c r="U5" i="8" a="1"/>
  <c r="U5" i="8" s="1"/>
  <c r="U4" i="8" a="1"/>
  <c r="U4" i="8" s="1"/>
  <c r="T34" i="7" a="1"/>
  <c r="T34" i="7" s="1"/>
  <c r="S34" i="7" a="1"/>
  <c r="S34" i="7" s="1"/>
  <c r="R34" i="7"/>
  <c r="U33" i="7"/>
  <c r="U33" i="7" a="1"/>
  <c r="U32" i="7" a="1"/>
  <c r="U32" i="7" s="1"/>
  <c r="U31" i="7" a="1"/>
  <c r="U31" i="7" s="1"/>
  <c r="U30" i="7" a="1"/>
  <c r="U30" i="7" s="1"/>
  <c r="U29" i="7" a="1"/>
  <c r="U29" i="7" s="1"/>
  <c r="U28" i="7" a="1"/>
  <c r="U28" i="7" s="1"/>
  <c r="U27" i="7" a="1"/>
  <c r="U27" i="7" s="1"/>
  <c r="U26" i="7" a="1"/>
  <c r="U26" i="7" s="1"/>
  <c r="U25" i="7" a="1"/>
  <c r="U25" i="7" s="1"/>
  <c r="U24" i="7" a="1"/>
  <c r="U24" i="7" s="1"/>
  <c r="U23" i="7" a="1"/>
  <c r="U23" i="7" s="1"/>
  <c r="U22" i="7" a="1"/>
  <c r="U22" i="7" s="1"/>
  <c r="U21" i="7" a="1"/>
  <c r="U21" i="7" s="1"/>
  <c r="U20" i="7" a="1"/>
  <c r="U20" i="7" s="1"/>
  <c r="U19" i="7" a="1"/>
  <c r="U19" i="7" s="1"/>
  <c r="U18" i="7" a="1"/>
  <c r="U18" i="7" s="1"/>
  <c r="U17" i="7" a="1"/>
  <c r="U17" i="7" s="1"/>
  <c r="U16" i="7" a="1"/>
  <c r="U16" i="7" s="1"/>
  <c r="U15" i="7" a="1"/>
  <c r="U15" i="7" s="1"/>
  <c r="U14" i="7" a="1"/>
  <c r="U14" i="7" s="1"/>
  <c r="U13" i="7" a="1"/>
  <c r="U13" i="7" s="1"/>
  <c r="U12" i="7" a="1"/>
  <c r="U12" i="7" s="1"/>
  <c r="U11" i="7" a="1"/>
  <c r="U11" i="7" s="1"/>
  <c r="U10" i="7" a="1"/>
  <c r="U10" i="7" s="1"/>
  <c r="U9" i="7" a="1"/>
  <c r="U9" i="7" s="1"/>
  <c r="U8" i="7" a="1"/>
  <c r="U8" i="7" s="1"/>
  <c r="U7" i="7" a="1"/>
  <c r="U7" i="7" s="1"/>
  <c r="U6" i="7" a="1"/>
  <c r="U6" i="7" s="1"/>
  <c r="U5" i="7" a="1"/>
  <c r="U5" i="7" s="1"/>
  <c r="U4" i="7" a="1"/>
  <c r="U4" i="7" s="1"/>
  <c r="U34" i="6" a="1"/>
  <c r="U34" i="6"/>
  <c r="T35" i="6" a="1"/>
  <c r="T35" i="6" s="1"/>
  <c r="S35" i="6"/>
  <c r="S35" i="6" a="1"/>
  <c r="R35" i="6"/>
  <c r="U33" i="6"/>
  <c r="U33" i="6" a="1"/>
  <c r="U32" i="6"/>
  <c r="U32" i="6" a="1"/>
  <c r="U31" i="6"/>
  <c r="U31" i="6" a="1"/>
  <c r="U30" i="6" a="1"/>
  <c r="U30" i="6" s="1"/>
  <c r="U29" i="6"/>
  <c r="U29" i="6" a="1"/>
  <c r="U28" i="6" a="1"/>
  <c r="U28" i="6" s="1"/>
  <c r="U27" i="6"/>
  <c r="U27" i="6" a="1"/>
  <c r="U26" i="6" a="1"/>
  <c r="U26" i="6" s="1"/>
  <c r="U25" i="6"/>
  <c r="U25" i="6" a="1"/>
  <c r="U24" i="6" a="1"/>
  <c r="U24" i="6" s="1"/>
  <c r="U23" i="6"/>
  <c r="U23" i="6" a="1"/>
  <c r="U22" i="6" a="1"/>
  <c r="U22" i="6" s="1"/>
  <c r="U21" i="6"/>
  <c r="U21" i="6" a="1"/>
  <c r="U20" i="6" a="1"/>
  <c r="U20" i="6" s="1"/>
  <c r="U19" i="6"/>
  <c r="U19" i="6" a="1"/>
  <c r="U18" i="6" a="1"/>
  <c r="U18" i="6" s="1"/>
  <c r="U17" i="6"/>
  <c r="U17" i="6" a="1"/>
  <c r="U16" i="6" a="1"/>
  <c r="U16" i="6" s="1"/>
  <c r="U15" i="6"/>
  <c r="U15" i="6" a="1"/>
  <c r="U14" i="6" a="1"/>
  <c r="U14" i="6" s="1"/>
  <c r="U13" i="6"/>
  <c r="U13" i="6" a="1"/>
  <c r="U12" i="6" a="1"/>
  <c r="U12" i="6" s="1"/>
  <c r="U11" i="6"/>
  <c r="U11" i="6" a="1"/>
  <c r="U10" i="6" a="1"/>
  <c r="U10" i="6" s="1"/>
  <c r="U9" i="6"/>
  <c r="U9" i="6" a="1"/>
  <c r="U8" i="6" a="1"/>
  <c r="U8" i="6" s="1"/>
  <c r="U7" i="6"/>
  <c r="U7" i="6" a="1"/>
  <c r="U6" i="6" a="1"/>
  <c r="U6" i="6" s="1"/>
  <c r="U5" i="6"/>
  <c r="U5" i="6" a="1"/>
  <c r="U4" i="6" a="1"/>
  <c r="U4" i="6" s="1"/>
  <c r="T34" i="5" a="1"/>
  <c r="T34" i="5" s="1"/>
  <c r="S34" i="5" a="1"/>
  <c r="S34" i="5" s="1"/>
  <c r="R34" i="5"/>
  <c r="U33" i="5"/>
  <c r="U33" i="5" a="1"/>
  <c r="U32" i="5" a="1"/>
  <c r="U32" i="5" s="1"/>
  <c r="U31" i="5"/>
  <c r="U31" i="5" a="1"/>
  <c r="U30" i="5" a="1"/>
  <c r="U30" i="5" s="1"/>
  <c r="U29" i="5"/>
  <c r="U29" i="5" a="1"/>
  <c r="U28" i="5" a="1"/>
  <c r="U28" i="5" s="1"/>
  <c r="U27" i="5"/>
  <c r="U27" i="5" a="1"/>
  <c r="U26" i="5" a="1"/>
  <c r="U26" i="5" s="1"/>
  <c r="U25" i="5" a="1"/>
  <c r="U25" i="5" s="1"/>
  <c r="U24" i="5" a="1"/>
  <c r="U24" i="5" s="1"/>
  <c r="U23" i="5" a="1"/>
  <c r="U23" i="5" s="1"/>
  <c r="U22" i="5" a="1"/>
  <c r="U22" i="5" s="1"/>
  <c r="U21" i="5"/>
  <c r="U21" i="5" a="1"/>
  <c r="U20" i="5" a="1"/>
  <c r="U20" i="5" s="1"/>
  <c r="U19" i="5"/>
  <c r="U19" i="5" a="1"/>
  <c r="U18" i="5" a="1"/>
  <c r="U18" i="5" s="1"/>
  <c r="U17" i="5" a="1"/>
  <c r="U17" i="5" s="1"/>
  <c r="U16" i="5" a="1"/>
  <c r="U16" i="5" s="1"/>
  <c r="U15" i="5" a="1"/>
  <c r="U15" i="5" s="1"/>
  <c r="U14" i="5" a="1"/>
  <c r="U14" i="5" s="1"/>
  <c r="U13" i="5" a="1"/>
  <c r="U13" i="5" s="1"/>
  <c r="U12" i="5" a="1"/>
  <c r="U12" i="5" s="1"/>
  <c r="U11" i="5"/>
  <c r="U11" i="5" a="1"/>
  <c r="U10" i="5" a="1"/>
  <c r="U10" i="5" s="1"/>
  <c r="U9" i="5" a="1"/>
  <c r="U9" i="5" s="1"/>
  <c r="U8" i="5" a="1"/>
  <c r="U8" i="5" s="1"/>
  <c r="U7" i="5" a="1"/>
  <c r="U7" i="5" s="1"/>
  <c r="U6" i="5" a="1"/>
  <c r="U6" i="5" s="1"/>
  <c r="U5" i="5" a="1"/>
  <c r="U5" i="5" s="1"/>
  <c r="U4" i="5" a="1"/>
  <c r="U4" i="5" s="1"/>
  <c r="T35" i="4" a="1"/>
  <c r="T35" i="4" s="1"/>
  <c r="S35" i="4" a="1"/>
  <c r="S35" i="4" s="1"/>
  <c r="R35" i="4"/>
  <c r="U34" i="4" a="1"/>
  <c r="U34" i="4" s="1"/>
  <c r="U33" i="4"/>
  <c r="U33" i="4" a="1"/>
  <c r="U32" i="4" a="1"/>
  <c r="U32" i="4" s="1"/>
  <c r="U31" i="4" a="1"/>
  <c r="U31" i="4" s="1"/>
  <c r="U30" i="4" a="1"/>
  <c r="U30" i="4" s="1"/>
  <c r="U29" i="4" a="1"/>
  <c r="U29" i="4" s="1"/>
  <c r="U28" i="4" a="1"/>
  <c r="U28" i="4" s="1"/>
  <c r="U27" i="4" a="1"/>
  <c r="U27" i="4" s="1"/>
  <c r="U26" i="4" a="1"/>
  <c r="U26" i="4" s="1"/>
  <c r="U25" i="4" a="1"/>
  <c r="U25" i="4" s="1"/>
  <c r="U24" i="4" a="1"/>
  <c r="U24" i="4" s="1"/>
  <c r="U23" i="4" a="1"/>
  <c r="U23" i="4" s="1"/>
  <c r="U22" i="4" a="1"/>
  <c r="U22" i="4" s="1"/>
  <c r="U21" i="4" a="1"/>
  <c r="U21" i="4" s="1"/>
  <c r="U20" i="4" a="1"/>
  <c r="U20" i="4" s="1"/>
  <c r="U19" i="4" a="1"/>
  <c r="U19" i="4" s="1"/>
  <c r="U18" i="4" a="1"/>
  <c r="U18" i="4" s="1"/>
  <c r="U17" i="4" a="1"/>
  <c r="U17" i="4" s="1"/>
  <c r="U16" i="4" a="1"/>
  <c r="U16" i="4" s="1"/>
  <c r="U15" i="4" a="1"/>
  <c r="U15" i="4" s="1"/>
  <c r="U14" i="4" a="1"/>
  <c r="U14" i="4" s="1"/>
  <c r="U13" i="4" a="1"/>
  <c r="U13" i="4" s="1"/>
  <c r="U12" i="4" a="1"/>
  <c r="U12" i="4" s="1"/>
  <c r="U11" i="4"/>
  <c r="U11" i="4" a="1"/>
  <c r="U10" i="4" a="1"/>
  <c r="U10" i="4" s="1"/>
  <c r="U9" i="4" a="1"/>
  <c r="U9" i="4" s="1"/>
  <c r="U8" i="4" a="1"/>
  <c r="U8" i="4" s="1"/>
  <c r="U7" i="4" a="1"/>
  <c r="U7" i="4" s="1"/>
  <c r="U6" i="4" a="1"/>
  <c r="U6" i="4" s="1"/>
  <c r="U5" i="4" a="1"/>
  <c r="U5" i="4" s="1"/>
  <c r="U4" i="4" a="1"/>
  <c r="U4" i="4" s="1"/>
  <c r="T34" i="3" a="1"/>
  <c r="T34" i="3" s="1"/>
  <c r="S34" i="3" a="1"/>
  <c r="S34" i="3" s="1"/>
  <c r="R34" i="3"/>
  <c r="U33" i="3" a="1"/>
  <c r="U33" i="3" s="1"/>
  <c r="U32" i="3" a="1"/>
  <c r="U32" i="3" s="1"/>
  <c r="U31" i="3" a="1"/>
  <c r="U31" i="3" s="1"/>
  <c r="U30" i="3" a="1"/>
  <c r="U30" i="3" s="1"/>
  <c r="U29" i="3" a="1"/>
  <c r="U29" i="3" s="1"/>
  <c r="U28" i="3"/>
  <c r="U28" i="3" a="1"/>
  <c r="U27" i="3" a="1"/>
  <c r="U27" i="3" s="1"/>
  <c r="U26" i="3" a="1"/>
  <c r="U26" i="3" s="1"/>
  <c r="U25" i="3" a="1"/>
  <c r="U25" i="3" s="1"/>
  <c r="U24" i="3" a="1"/>
  <c r="U24" i="3" s="1"/>
  <c r="U23" i="3" a="1"/>
  <c r="U23" i="3" s="1"/>
  <c r="U22" i="3"/>
  <c r="U22" i="3" a="1"/>
  <c r="U21" i="3" a="1"/>
  <c r="U21" i="3" s="1"/>
  <c r="U20" i="3"/>
  <c r="U20" i="3" a="1"/>
  <c r="U19" i="3" a="1"/>
  <c r="U19" i="3" s="1"/>
  <c r="U18" i="3" a="1"/>
  <c r="U18" i="3" s="1"/>
  <c r="U17" i="3" a="1"/>
  <c r="U17" i="3" s="1"/>
  <c r="U16" i="3" a="1"/>
  <c r="U16" i="3" s="1"/>
  <c r="U15" i="3" a="1"/>
  <c r="U15" i="3" s="1"/>
  <c r="U14" i="3" a="1"/>
  <c r="U14" i="3" s="1"/>
  <c r="U13" i="3" a="1"/>
  <c r="U13" i="3" s="1"/>
  <c r="U12" i="3" a="1"/>
  <c r="U12" i="3" s="1"/>
  <c r="U11" i="3" a="1"/>
  <c r="U11" i="3" s="1"/>
  <c r="U10" i="3" a="1"/>
  <c r="U10" i="3" s="1"/>
  <c r="U9" i="3" a="1"/>
  <c r="U9" i="3" s="1"/>
  <c r="U8" i="3" a="1"/>
  <c r="U8" i="3" s="1"/>
  <c r="U7" i="3" a="1"/>
  <c r="U7" i="3" s="1"/>
  <c r="U6" i="3"/>
  <c r="U6" i="3" a="1"/>
  <c r="U5" i="3" a="1"/>
  <c r="U5" i="3" s="1"/>
  <c r="U4" i="3"/>
  <c r="U4" i="3" a="1"/>
  <c r="R35" i="2"/>
  <c r="T35" i="2" a="1"/>
  <c r="T35" i="2" s="1"/>
  <c r="S35" i="2" a="1"/>
  <c r="S35" i="2" s="1"/>
  <c r="U34" i="2" a="1"/>
  <c r="U34" i="2" s="1"/>
  <c r="U33" i="2" a="1"/>
  <c r="U33" i="2" s="1"/>
  <c r="U32" i="2" a="1"/>
  <c r="U32" i="2" s="1"/>
  <c r="U31" i="2" a="1"/>
  <c r="U31" i="2" s="1"/>
  <c r="U30" i="2" a="1"/>
  <c r="U30" i="2" s="1"/>
  <c r="U29" i="2" a="1"/>
  <c r="U29" i="2" s="1"/>
  <c r="U28" i="2" a="1"/>
  <c r="U28" i="2" s="1"/>
  <c r="U27" i="2" a="1"/>
  <c r="U27" i="2" s="1"/>
  <c r="U26" i="2" a="1"/>
  <c r="U26" i="2" s="1"/>
  <c r="U25" i="2" a="1"/>
  <c r="U25" i="2" s="1"/>
  <c r="U24" i="2" a="1"/>
  <c r="U24" i="2" s="1"/>
  <c r="U23" i="2" a="1"/>
  <c r="U23" i="2" s="1"/>
  <c r="U22" i="2" a="1"/>
  <c r="U22" i="2" s="1"/>
  <c r="U21" i="2" a="1"/>
  <c r="U21" i="2" s="1"/>
  <c r="U20" i="2" a="1"/>
  <c r="U20" i="2" s="1"/>
  <c r="U19" i="2" a="1"/>
  <c r="U19" i="2" s="1"/>
  <c r="U18" i="2" a="1"/>
  <c r="U18" i="2" s="1"/>
  <c r="U17" i="2" a="1"/>
  <c r="U17" i="2" s="1"/>
  <c r="U16" i="2" a="1"/>
  <c r="U16" i="2" s="1"/>
  <c r="U15" i="2" a="1"/>
  <c r="U15" i="2" s="1"/>
  <c r="U14" i="2" a="1"/>
  <c r="U14" i="2" s="1"/>
  <c r="U13" i="2" a="1"/>
  <c r="U13" i="2" s="1"/>
  <c r="U12" i="2" a="1"/>
  <c r="U12" i="2" s="1"/>
  <c r="U11" i="2" a="1"/>
  <c r="U11" i="2" s="1"/>
  <c r="U10" i="2" a="1"/>
  <c r="U10" i="2" s="1"/>
  <c r="U9" i="2" a="1"/>
  <c r="U9" i="2" s="1"/>
  <c r="U8" i="2" a="1"/>
  <c r="U8" i="2" s="1"/>
  <c r="U7" i="2" a="1"/>
  <c r="U7" i="2" s="1"/>
  <c r="U6" i="2" a="1"/>
  <c r="U6" i="2" s="1"/>
  <c r="U5" i="2" a="1"/>
  <c r="U5" i="2" s="1"/>
  <c r="U4" i="2" a="1"/>
  <c r="U4" i="2" s="1"/>
  <c r="O35" i="11" a="1"/>
  <c r="O35" i="11" s="1"/>
  <c r="N35" i="11" a="1"/>
  <c r="N35" i="11" s="1"/>
  <c r="M35" i="11" a="1"/>
  <c r="M35" i="11" s="1"/>
  <c r="P35" i="11" s="1" a="1"/>
  <c r="P35" i="11" s="1"/>
  <c r="J35" i="11" a="1"/>
  <c r="J35" i="11" s="1"/>
  <c r="I35" i="11" a="1"/>
  <c r="I35" i="11" s="1"/>
  <c r="H35" i="11" a="1"/>
  <c r="H35" i="11" s="1"/>
  <c r="E35" i="11" a="1"/>
  <c r="E35" i="11" s="1"/>
  <c r="D35" i="11" a="1"/>
  <c r="D35" i="11" s="1"/>
  <c r="C35" i="11" a="1"/>
  <c r="C35" i="11" s="1"/>
  <c r="P34" i="11" a="1"/>
  <c r="P34" i="11" s="1"/>
  <c r="K34" i="11" a="1"/>
  <c r="K34" i="11" s="1"/>
  <c r="F34" i="11" a="1"/>
  <c r="F34" i="11" s="1"/>
  <c r="P33" i="11" a="1"/>
  <c r="P33" i="11" s="1"/>
  <c r="K33" i="11" a="1"/>
  <c r="K33" i="11" s="1"/>
  <c r="F33" i="11" a="1"/>
  <c r="F33" i="11" s="1"/>
  <c r="P32" i="11" a="1"/>
  <c r="P32" i="11" s="1"/>
  <c r="K32" i="11" a="1"/>
  <c r="K32" i="11" s="1"/>
  <c r="F32" i="11" a="1"/>
  <c r="F32" i="11" s="1"/>
  <c r="P31" i="11" a="1"/>
  <c r="P31" i="11" s="1"/>
  <c r="K31" i="11" a="1"/>
  <c r="K31" i="11" s="1"/>
  <c r="F31" i="11" a="1"/>
  <c r="F31" i="11" s="1"/>
  <c r="P30" i="11" a="1"/>
  <c r="P30" i="11" s="1"/>
  <c r="K30" i="11" a="1"/>
  <c r="K30" i="11" s="1"/>
  <c r="F30" i="11" a="1"/>
  <c r="F30" i="11" s="1"/>
  <c r="P29" i="11" a="1"/>
  <c r="P29" i="11" s="1"/>
  <c r="K29" i="11" a="1"/>
  <c r="K29" i="11" s="1"/>
  <c r="F29" i="11" a="1"/>
  <c r="F29" i="11" s="1"/>
  <c r="P28" i="11" a="1"/>
  <c r="P28" i="11" s="1"/>
  <c r="K28" i="11" a="1"/>
  <c r="K28" i="11" s="1"/>
  <c r="F28" i="11" a="1"/>
  <c r="F28" i="11" s="1"/>
  <c r="P27" i="11" a="1"/>
  <c r="P27" i="11" s="1"/>
  <c r="K27" i="11" a="1"/>
  <c r="K27" i="11" s="1"/>
  <c r="F27" i="11" a="1"/>
  <c r="F27" i="11" s="1"/>
  <c r="P26" i="11" a="1"/>
  <c r="P26" i="11" s="1"/>
  <c r="K26" i="11" a="1"/>
  <c r="K26" i="11" s="1"/>
  <c r="F26" i="11" a="1"/>
  <c r="F26" i="11" s="1"/>
  <c r="P25" i="11" a="1"/>
  <c r="P25" i="11" s="1"/>
  <c r="K25" i="11" a="1"/>
  <c r="K25" i="11" s="1"/>
  <c r="F25" i="11" a="1"/>
  <c r="F25" i="11" s="1"/>
  <c r="P24" i="11" a="1"/>
  <c r="P24" i="11" s="1"/>
  <c r="K24" i="11" a="1"/>
  <c r="K24" i="11"/>
  <c r="F24" i="11" a="1"/>
  <c r="F24" i="11" s="1"/>
  <c r="P23" i="11" a="1"/>
  <c r="P23" i="11" s="1"/>
  <c r="K23" i="11" a="1"/>
  <c r="K23" i="11" s="1"/>
  <c r="F23" i="11" a="1"/>
  <c r="F23" i="11" s="1"/>
  <c r="P22" i="11" a="1"/>
  <c r="P22" i="11" s="1"/>
  <c r="K22" i="11" a="1"/>
  <c r="K22" i="11" s="1"/>
  <c r="F22" i="11" a="1"/>
  <c r="F22" i="11" s="1"/>
  <c r="P21" i="11" a="1"/>
  <c r="P21" i="11" s="1"/>
  <c r="K21" i="11" a="1"/>
  <c r="K21" i="11" s="1"/>
  <c r="F21" i="11" a="1"/>
  <c r="F21" i="11" s="1"/>
  <c r="P20" i="11" a="1"/>
  <c r="P20" i="11" s="1"/>
  <c r="K20" i="11" a="1"/>
  <c r="K20" i="11"/>
  <c r="F20" i="11" a="1"/>
  <c r="F20" i="11" s="1"/>
  <c r="P19" i="11" a="1"/>
  <c r="P19" i="11" s="1"/>
  <c r="K19" i="11" a="1"/>
  <c r="K19" i="11" s="1"/>
  <c r="F19" i="11" a="1"/>
  <c r="F19" i="11" s="1"/>
  <c r="P18" i="11" a="1"/>
  <c r="P18" i="11" s="1"/>
  <c r="K18" i="11" a="1"/>
  <c r="K18" i="11" s="1"/>
  <c r="F18" i="11" a="1"/>
  <c r="F18" i="11" s="1"/>
  <c r="P17" i="11" a="1"/>
  <c r="P17" i="11" s="1"/>
  <c r="K17" i="11" a="1"/>
  <c r="K17" i="11" s="1"/>
  <c r="F17" i="11" a="1"/>
  <c r="F17" i="11" s="1"/>
  <c r="P16" i="11" a="1"/>
  <c r="P16" i="11" s="1"/>
  <c r="K16" i="11" a="1"/>
  <c r="K16" i="11" s="1"/>
  <c r="F16" i="11" a="1"/>
  <c r="F16" i="11" s="1"/>
  <c r="P15" i="11" a="1"/>
  <c r="P15" i="11" s="1"/>
  <c r="K15" i="11" a="1"/>
  <c r="K15" i="11" s="1"/>
  <c r="F15" i="11" a="1"/>
  <c r="F15" i="11"/>
  <c r="P14" i="11" a="1"/>
  <c r="P14" i="11" s="1"/>
  <c r="K14" i="11" a="1"/>
  <c r="K14" i="11" s="1"/>
  <c r="F14" i="11" a="1"/>
  <c r="F14" i="11" s="1"/>
  <c r="P13" i="11" a="1"/>
  <c r="P13" i="11" s="1"/>
  <c r="K13" i="11" a="1"/>
  <c r="K13" i="11" s="1"/>
  <c r="F13" i="11" a="1"/>
  <c r="F13" i="11" s="1"/>
  <c r="P12" i="11" a="1"/>
  <c r="P12" i="11" s="1"/>
  <c r="K12" i="11" a="1"/>
  <c r="K12" i="11" s="1"/>
  <c r="F12" i="11" a="1"/>
  <c r="F12" i="11" s="1"/>
  <c r="P11" i="11" a="1"/>
  <c r="P11" i="11" s="1"/>
  <c r="K11" i="11" a="1"/>
  <c r="K11" i="11" s="1"/>
  <c r="F11" i="11" a="1"/>
  <c r="F11" i="11" s="1"/>
  <c r="P10" i="11" a="1"/>
  <c r="P10" i="11" s="1"/>
  <c r="K10" i="11" a="1"/>
  <c r="K10" i="11" s="1"/>
  <c r="F10" i="11" a="1"/>
  <c r="F10" i="11" s="1"/>
  <c r="P9" i="11" a="1"/>
  <c r="P9" i="11"/>
  <c r="K9" i="11" a="1"/>
  <c r="K9" i="11" s="1"/>
  <c r="F9" i="11" a="1"/>
  <c r="F9" i="11" s="1"/>
  <c r="P8" i="11" a="1"/>
  <c r="P8" i="11" s="1"/>
  <c r="K8" i="11" a="1"/>
  <c r="K8" i="11" s="1"/>
  <c r="F8" i="11" a="1"/>
  <c r="F8" i="11" s="1"/>
  <c r="P7" i="11" a="1"/>
  <c r="P7" i="11" s="1"/>
  <c r="K7" i="11" a="1"/>
  <c r="K7" i="11" s="1"/>
  <c r="F7" i="11" a="1"/>
  <c r="F7" i="11" s="1"/>
  <c r="P6" i="11" a="1"/>
  <c r="P6" i="11" s="1"/>
  <c r="K6" i="11" a="1"/>
  <c r="K6" i="11" s="1"/>
  <c r="F6" i="11" a="1"/>
  <c r="F6" i="11" s="1"/>
  <c r="P5" i="11" a="1"/>
  <c r="P5" i="11"/>
  <c r="K5" i="11" a="1"/>
  <c r="K5" i="11" s="1"/>
  <c r="F5" i="11" a="1"/>
  <c r="F5" i="11" s="1"/>
  <c r="P4" i="11" a="1"/>
  <c r="P4" i="11" s="1"/>
  <c r="K4" i="11" a="1"/>
  <c r="K4" i="11" s="1"/>
  <c r="F4" i="11" a="1"/>
  <c r="F4" i="11" s="1"/>
  <c r="O34" i="10" a="1"/>
  <c r="O34" i="10"/>
  <c r="N34" i="10" a="1"/>
  <c r="N34" i="10" s="1"/>
  <c r="M34" i="10" a="1"/>
  <c r="M34" i="10" s="1"/>
  <c r="P34" i="10" s="1" a="1"/>
  <c r="P34" i="10" s="1"/>
  <c r="J34" i="10" a="1"/>
  <c r="J34" i="10"/>
  <c r="I34" i="10" a="1"/>
  <c r="I34" i="10" s="1"/>
  <c r="H34" i="10" a="1"/>
  <c r="H34" i="10" s="1"/>
  <c r="K34" i="10" s="1" a="1"/>
  <c r="K34" i="10" s="1"/>
  <c r="E34" i="10" a="1"/>
  <c r="E34" i="10"/>
  <c r="D34" i="10" a="1"/>
  <c r="D34" i="10" s="1"/>
  <c r="C34" i="10" a="1"/>
  <c r="C34" i="10" s="1"/>
  <c r="F34" i="10" s="1" a="1"/>
  <c r="F34" i="10" s="1"/>
  <c r="V34" i="10" s="1" a="1"/>
  <c r="V34" i="10" s="1"/>
  <c r="P33" i="10" a="1"/>
  <c r="P33" i="10" s="1"/>
  <c r="K33" i="10" a="1"/>
  <c r="K33" i="10"/>
  <c r="P32" i="10" a="1"/>
  <c r="P32" i="10" s="1"/>
  <c r="K32" i="10" a="1"/>
  <c r="K32" i="10" s="1"/>
  <c r="F32" i="10" a="1"/>
  <c r="F32" i="10" s="1"/>
  <c r="P31" i="10" a="1"/>
  <c r="P31" i="10"/>
  <c r="K31" i="10" a="1"/>
  <c r="K31" i="10" s="1"/>
  <c r="F31" i="10" a="1"/>
  <c r="F31" i="10" s="1"/>
  <c r="P30" i="10" a="1"/>
  <c r="P30" i="10" s="1"/>
  <c r="K30" i="10" a="1"/>
  <c r="K30" i="10"/>
  <c r="F30" i="10" a="1"/>
  <c r="F30" i="10" s="1"/>
  <c r="P29" i="10" a="1"/>
  <c r="P29" i="10" s="1"/>
  <c r="K29" i="10" a="1"/>
  <c r="K29" i="10" s="1"/>
  <c r="F29" i="10" a="1"/>
  <c r="F29" i="10"/>
  <c r="P28" i="10" a="1"/>
  <c r="P28" i="10" s="1"/>
  <c r="K28" i="10" a="1"/>
  <c r="K28" i="10" s="1"/>
  <c r="F28" i="10" a="1"/>
  <c r="F28" i="10" s="1"/>
  <c r="P27" i="10" a="1"/>
  <c r="P27" i="10"/>
  <c r="K27" i="10" a="1"/>
  <c r="K27" i="10" s="1"/>
  <c r="F27" i="10" a="1"/>
  <c r="F27" i="10" s="1"/>
  <c r="P26" i="10" a="1"/>
  <c r="P26" i="10" s="1"/>
  <c r="K26" i="10" a="1"/>
  <c r="K26" i="10"/>
  <c r="F26" i="10" a="1"/>
  <c r="F26" i="10" s="1"/>
  <c r="P25" i="10" a="1"/>
  <c r="P25" i="10" s="1"/>
  <c r="K25" i="10" a="1"/>
  <c r="K25" i="10" s="1"/>
  <c r="F25" i="10" a="1"/>
  <c r="F25" i="10"/>
  <c r="P24" i="10" a="1"/>
  <c r="P24" i="10" s="1"/>
  <c r="K24" i="10" a="1"/>
  <c r="K24" i="10" s="1"/>
  <c r="F24" i="10" a="1"/>
  <c r="F24" i="10" s="1"/>
  <c r="P23" i="10" a="1"/>
  <c r="P23" i="10"/>
  <c r="K23" i="10" a="1"/>
  <c r="K23" i="10" s="1"/>
  <c r="F23" i="10" a="1"/>
  <c r="F23" i="10" s="1"/>
  <c r="P22" i="10" a="1"/>
  <c r="P22" i="10" s="1"/>
  <c r="K22" i="10" a="1"/>
  <c r="K22" i="10"/>
  <c r="F22" i="10" a="1"/>
  <c r="F22" i="10" s="1"/>
  <c r="P21" i="10" a="1"/>
  <c r="P21" i="10" s="1"/>
  <c r="K21" i="10" a="1"/>
  <c r="K21" i="10" s="1"/>
  <c r="F21" i="10" a="1"/>
  <c r="F21" i="10"/>
  <c r="P20" i="10" a="1"/>
  <c r="P20" i="10" s="1"/>
  <c r="K20" i="10" a="1"/>
  <c r="K20" i="10" s="1"/>
  <c r="F20" i="10" a="1"/>
  <c r="F20" i="10" s="1"/>
  <c r="P19" i="10" a="1"/>
  <c r="P19" i="10"/>
  <c r="K19" i="10" a="1"/>
  <c r="K19" i="10" s="1"/>
  <c r="F19" i="10" a="1"/>
  <c r="F19" i="10" s="1"/>
  <c r="P18" i="10" a="1"/>
  <c r="P18" i="10" s="1"/>
  <c r="K18" i="10" a="1"/>
  <c r="K18" i="10"/>
  <c r="F18" i="10" a="1"/>
  <c r="F18" i="10" s="1"/>
  <c r="P17" i="10" a="1"/>
  <c r="P17" i="10" s="1"/>
  <c r="K17" i="10" a="1"/>
  <c r="K17" i="10" s="1"/>
  <c r="F17" i="10" a="1"/>
  <c r="F17" i="10" s="1"/>
  <c r="P16" i="10" a="1"/>
  <c r="P16" i="10" s="1"/>
  <c r="K16" i="10" a="1"/>
  <c r="K16" i="10" s="1"/>
  <c r="F16" i="10" a="1"/>
  <c r="F16" i="10" s="1"/>
  <c r="P15" i="10" a="1"/>
  <c r="P15" i="10" s="1"/>
  <c r="K15" i="10" a="1"/>
  <c r="K15" i="10" s="1"/>
  <c r="F15" i="10" a="1"/>
  <c r="F15" i="10" s="1"/>
  <c r="P14" i="10" a="1"/>
  <c r="P14" i="10" s="1"/>
  <c r="K14" i="10" a="1"/>
  <c r="K14" i="10" s="1"/>
  <c r="F14" i="10" a="1"/>
  <c r="F14" i="10" s="1"/>
  <c r="P13" i="10" a="1"/>
  <c r="P13" i="10" s="1"/>
  <c r="K13" i="10" a="1"/>
  <c r="K13" i="10" s="1"/>
  <c r="F13" i="10" a="1"/>
  <c r="F13" i="10" s="1"/>
  <c r="P12" i="10" a="1"/>
  <c r="P12" i="10" s="1"/>
  <c r="K12" i="10" a="1"/>
  <c r="K12" i="10" s="1"/>
  <c r="F12" i="10" a="1"/>
  <c r="F12" i="10" s="1"/>
  <c r="P11" i="10" a="1"/>
  <c r="P11" i="10" s="1"/>
  <c r="K11" i="10" a="1"/>
  <c r="K11" i="10" s="1"/>
  <c r="F11" i="10" a="1"/>
  <c r="F11" i="10" s="1"/>
  <c r="P10" i="10" a="1"/>
  <c r="P10" i="10" s="1"/>
  <c r="K10" i="10" a="1"/>
  <c r="K10" i="10" s="1"/>
  <c r="F10" i="10" a="1"/>
  <c r="F10" i="10" s="1"/>
  <c r="P9" i="10" a="1"/>
  <c r="P9" i="10" s="1"/>
  <c r="K9" i="10" a="1"/>
  <c r="K9" i="10" s="1"/>
  <c r="F9" i="10" a="1"/>
  <c r="F9" i="10" s="1"/>
  <c r="P8" i="10" a="1"/>
  <c r="P8" i="10" s="1"/>
  <c r="K8" i="10" a="1"/>
  <c r="K8" i="10" s="1"/>
  <c r="F8" i="10" a="1"/>
  <c r="F8" i="10" s="1"/>
  <c r="P7" i="10" a="1"/>
  <c r="P7" i="10" s="1"/>
  <c r="K7" i="10" a="1"/>
  <c r="K7" i="10" s="1"/>
  <c r="F7" i="10" a="1"/>
  <c r="F7" i="10" s="1"/>
  <c r="P6" i="10" a="1"/>
  <c r="P6" i="10" s="1"/>
  <c r="K6" i="10" a="1"/>
  <c r="K6" i="10" s="1"/>
  <c r="F6" i="10" a="1"/>
  <c r="F6" i="10" s="1"/>
  <c r="P5" i="10" a="1"/>
  <c r="P5" i="10" s="1"/>
  <c r="K5" i="10" a="1"/>
  <c r="K5" i="10" s="1"/>
  <c r="F5" i="10" a="1"/>
  <c r="F5" i="10" s="1"/>
  <c r="P4" i="10" a="1"/>
  <c r="P4" i="10" s="1"/>
  <c r="K4" i="10" a="1"/>
  <c r="K4" i="10" s="1"/>
  <c r="F4" i="10" a="1"/>
  <c r="F4" i="10" s="1"/>
  <c r="O35" i="9" a="1"/>
  <c r="O35" i="9" s="1"/>
  <c r="N35" i="9" a="1"/>
  <c r="N35" i="9" s="1"/>
  <c r="M35" i="9" a="1"/>
  <c r="M35" i="9" s="1"/>
  <c r="P35" i="9" s="1" a="1"/>
  <c r="P35" i="9" s="1"/>
  <c r="J35" i="9" a="1"/>
  <c r="J35" i="9" s="1"/>
  <c r="I35" i="9" a="1"/>
  <c r="I35" i="9" s="1"/>
  <c r="H35" i="9" a="1"/>
  <c r="H35" i="9" s="1"/>
  <c r="E35" i="9" a="1"/>
  <c r="E35" i="9" s="1"/>
  <c r="D35" i="9" a="1"/>
  <c r="D35" i="9" s="1"/>
  <c r="C35" i="9" a="1"/>
  <c r="C35" i="9" s="1"/>
  <c r="P34" i="9" a="1"/>
  <c r="P34" i="9" s="1"/>
  <c r="K34" i="9" a="1"/>
  <c r="K34" i="9" s="1"/>
  <c r="F34" i="9" a="1"/>
  <c r="F34" i="9" s="1"/>
  <c r="P33" i="9" a="1"/>
  <c r="P33" i="9" s="1"/>
  <c r="K33" i="9" a="1"/>
  <c r="K33" i="9" s="1"/>
  <c r="F33" i="9" a="1"/>
  <c r="F33" i="9" s="1"/>
  <c r="P32" i="9" a="1"/>
  <c r="P32" i="9" s="1"/>
  <c r="K32" i="9" a="1"/>
  <c r="K32" i="9" s="1"/>
  <c r="F32" i="9" a="1"/>
  <c r="F32" i="9" s="1"/>
  <c r="P31" i="9" a="1"/>
  <c r="P31" i="9" s="1"/>
  <c r="K31" i="9" a="1"/>
  <c r="K31" i="9" s="1"/>
  <c r="F31" i="9" a="1"/>
  <c r="F31" i="9" s="1"/>
  <c r="P30" i="9" a="1"/>
  <c r="P30" i="9" s="1"/>
  <c r="K30" i="9" a="1"/>
  <c r="K30" i="9" s="1"/>
  <c r="F30" i="9" a="1"/>
  <c r="F30" i="9" s="1"/>
  <c r="P29" i="9" a="1"/>
  <c r="P29" i="9" s="1"/>
  <c r="K29" i="9" a="1"/>
  <c r="K29" i="9" s="1"/>
  <c r="F29" i="9" a="1"/>
  <c r="F29" i="9" s="1"/>
  <c r="P28" i="9" a="1"/>
  <c r="P28" i="9" s="1"/>
  <c r="K28" i="9" a="1"/>
  <c r="K28" i="9" s="1"/>
  <c r="F28" i="9" a="1"/>
  <c r="F28" i="9" s="1"/>
  <c r="P27" i="9" a="1"/>
  <c r="P27" i="9" s="1"/>
  <c r="K27" i="9" a="1"/>
  <c r="K27" i="9" s="1"/>
  <c r="F27" i="9" a="1"/>
  <c r="F27" i="9" s="1"/>
  <c r="P26" i="9" a="1"/>
  <c r="P26" i="9" s="1"/>
  <c r="K26" i="9" a="1"/>
  <c r="K26" i="9" s="1"/>
  <c r="F26" i="9" a="1"/>
  <c r="F26" i="9" s="1"/>
  <c r="P25" i="9" a="1"/>
  <c r="P25" i="9" s="1"/>
  <c r="K25" i="9" a="1"/>
  <c r="K25" i="9" s="1"/>
  <c r="F25" i="9" a="1"/>
  <c r="F25" i="9" s="1"/>
  <c r="P24" i="9" a="1"/>
  <c r="P24" i="9" s="1"/>
  <c r="K24" i="9" a="1"/>
  <c r="K24" i="9" s="1"/>
  <c r="F24" i="9" a="1"/>
  <c r="F24" i="9" s="1"/>
  <c r="P23" i="9" a="1"/>
  <c r="P23" i="9" s="1"/>
  <c r="K23" i="9" a="1"/>
  <c r="K23" i="9" s="1"/>
  <c r="F23" i="9" a="1"/>
  <c r="F23" i="9" s="1"/>
  <c r="P22" i="9" a="1"/>
  <c r="P22" i="9" s="1"/>
  <c r="K22" i="9" a="1"/>
  <c r="K22" i="9" s="1"/>
  <c r="F22" i="9" a="1"/>
  <c r="F22" i="9" s="1"/>
  <c r="P21" i="9" a="1"/>
  <c r="P21" i="9" s="1"/>
  <c r="K21" i="9" a="1"/>
  <c r="K21" i="9" s="1"/>
  <c r="F21" i="9" a="1"/>
  <c r="F21" i="9" s="1"/>
  <c r="P20" i="9" a="1"/>
  <c r="P20" i="9" s="1"/>
  <c r="K20" i="9" a="1"/>
  <c r="K20" i="9" s="1"/>
  <c r="F20" i="9" a="1"/>
  <c r="F20" i="9" s="1"/>
  <c r="P19" i="9" a="1"/>
  <c r="P19" i="9" s="1"/>
  <c r="K19" i="9" a="1"/>
  <c r="K19" i="9" s="1"/>
  <c r="F19" i="9" a="1"/>
  <c r="F19" i="9" s="1"/>
  <c r="P18" i="9" a="1"/>
  <c r="P18" i="9" s="1"/>
  <c r="K18" i="9" a="1"/>
  <c r="K18" i="9" s="1"/>
  <c r="F18" i="9" a="1"/>
  <c r="F18" i="9" s="1"/>
  <c r="P17" i="9" a="1"/>
  <c r="P17" i="9" s="1"/>
  <c r="K17" i="9" a="1"/>
  <c r="K17" i="9" s="1"/>
  <c r="F17" i="9" a="1"/>
  <c r="F17" i="9" s="1"/>
  <c r="P16" i="9" a="1"/>
  <c r="P16" i="9" s="1"/>
  <c r="K16" i="9" a="1"/>
  <c r="K16" i="9" s="1"/>
  <c r="F16" i="9" a="1"/>
  <c r="F16" i="9" s="1"/>
  <c r="P15" i="9" a="1"/>
  <c r="P15" i="9" s="1"/>
  <c r="K15" i="9" a="1"/>
  <c r="K15" i="9" s="1"/>
  <c r="F15" i="9" a="1"/>
  <c r="F15" i="9" s="1"/>
  <c r="P14" i="9" a="1"/>
  <c r="P14" i="9" s="1"/>
  <c r="K14" i="9" a="1"/>
  <c r="K14" i="9" s="1"/>
  <c r="F14" i="9" a="1"/>
  <c r="F14" i="9" s="1"/>
  <c r="P13" i="9" a="1"/>
  <c r="P13" i="9" s="1"/>
  <c r="K13" i="9" a="1"/>
  <c r="K13" i="9" s="1"/>
  <c r="F13" i="9" a="1"/>
  <c r="F13" i="9" s="1"/>
  <c r="P12" i="9" a="1"/>
  <c r="P12" i="9" s="1"/>
  <c r="K12" i="9" a="1"/>
  <c r="K12" i="9" s="1"/>
  <c r="F12" i="9" a="1"/>
  <c r="F12" i="9" s="1"/>
  <c r="P11" i="9" a="1"/>
  <c r="P11" i="9" s="1"/>
  <c r="K11" i="9" a="1"/>
  <c r="K11" i="9" s="1"/>
  <c r="F11" i="9" a="1"/>
  <c r="F11" i="9" s="1"/>
  <c r="P10" i="9" a="1"/>
  <c r="P10" i="9" s="1"/>
  <c r="K10" i="9" a="1"/>
  <c r="K10" i="9" s="1"/>
  <c r="F10" i="9" a="1"/>
  <c r="F10" i="9" s="1"/>
  <c r="P9" i="9" a="1"/>
  <c r="P9" i="9" s="1"/>
  <c r="K9" i="9" a="1"/>
  <c r="K9" i="9" s="1"/>
  <c r="F9" i="9" a="1"/>
  <c r="F9" i="9" s="1"/>
  <c r="P8" i="9" a="1"/>
  <c r="P8" i="9" s="1"/>
  <c r="K8" i="9" a="1"/>
  <c r="K8" i="9" s="1"/>
  <c r="F8" i="9" a="1"/>
  <c r="F8" i="9" s="1"/>
  <c r="P7" i="9" a="1"/>
  <c r="P7" i="9" s="1"/>
  <c r="K7" i="9" a="1"/>
  <c r="K7" i="9" s="1"/>
  <c r="F7" i="9" a="1"/>
  <c r="F7" i="9" s="1"/>
  <c r="P6" i="9" a="1"/>
  <c r="P6" i="9" s="1"/>
  <c r="K6" i="9" a="1"/>
  <c r="K6" i="9" s="1"/>
  <c r="F6" i="9" a="1"/>
  <c r="F6" i="9" s="1"/>
  <c r="P5" i="9" a="1"/>
  <c r="P5" i="9" s="1"/>
  <c r="K5" i="9" a="1"/>
  <c r="K5" i="9" s="1"/>
  <c r="F5" i="9" a="1"/>
  <c r="F5" i="9" s="1"/>
  <c r="P4" i="9" a="1"/>
  <c r="P4" i="9" s="1"/>
  <c r="K4" i="9" a="1"/>
  <c r="K4" i="9" s="1"/>
  <c r="F4" i="9" a="1"/>
  <c r="F4" i="9" s="1"/>
  <c r="O34" i="8" a="1"/>
  <c r="O34" i="8" s="1"/>
  <c r="N34" i="8" a="1"/>
  <c r="N34" i="8" s="1"/>
  <c r="M34" i="8" a="1"/>
  <c r="M34" i="8" s="1"/>
  <c r="L34" i="8" a="1"/>
  <c r="L34" i="8" s="1"/>
  <c r="J34" i="8" a="1"/>
  <c r="J34" i="8" s="1"/>
  <c r="I34" i="8" a="1"/>
  <c r="I34" i="8" s="1"/>
  <c r="H34" i="8" a="1"/>
  <c r="H34" i="8" s="1"/>
  <c r="G34" i="8" a="1"/>
  <c r="G34" i="8" s="1"/>
  <c r="E34" i="8" a="1"/>
  <c r="E34" i="8" s="1"/>
  <c r="D34" i="8" a="1"/>
  <c r="D34" i="8" s="1"/>
  <c r="C34" i="8" a="1"/>
  <c r="C34" i="8" s="1"/>
  <c r="B34" i="8" a="1"/>
  <c r="B34" i="8" s="1"/>
  <c r="P33" i="8" a="1"/>
  <c r="P33" i="8" s="1"/>
  <c r="K33" i="8" a="1"/>
  <c r="K33" i="8" s="1"/>
  <c r="P32" i="8" a="1"/>
  <c r="P32" i="8" s="1"/>
  <c r="K32" i="8" a="1"/>
  <c r="K32" i="8" s="1"/>
  <c r="F32" i="8" a="1"/>
  <c r="F32" i="8" s="1"/>
  <c r="P31" i="8" a="1"/>
  <c r="P31" i="8" s="1"/>
  <c r="K31" i="8" a="1"/>
  <c r="K31" i="8" s="1"/>
  <c r="F31" i="8" a="1"/>
  <c r="F31" i="8" s="1"/>
  <c r="P30" i="8" a="1"/>
  <c r="P30" i="8" s="1"/>
  <c r="K30" i="8" a="1"/>
  <c r="K30" i="8" s="1"/>
  <c r="F30" i="8" a="1"/>
  <c r="F30" i="8" s="1"/>
  <c r="P29" i="8" a="1"/>
  <c r="P29" i="8" s="1"/>
  <c r="K29" i="8" a="1"/>
  <c r="K29" i="8" s="1"/>
  <c r="F29" i="8" a="1"/>
  <c r="F29" i="8" s="1"/>
  <c r="P28" i="8" a="1"/>
  <c r="P28" i="8" s="1"/>
  <c r="K28" i="8" a="1"/>
  <c r="K28" i="8" s="1"/>
  <c r="F28" i="8" a="1"/>
  <c r="F28" i="8" s="1"/>
  <c r="P27" i="8" a="1"/>
  <c r="P27" i="8" s="1"/>
  <c r="K27" i="8" a="1"/>
  <c r="K27" i="8" s="1"/>
  <c r="F27" i="8" a="1"/>
  <c r="F27" i="8" s="1"/>
  <c r="P26" i="8" a="1"/>
  <c r="P26" i="8" s="1"/>
  <c r="K26" i="8" a="1"/>
  <c r="K26" i="8" s="1"/>
  <c r="F26" i="8" a="1"/>
  <c r="F26" i="8" s="1"/>
  <c r="P25" i="8" a="1"/>
  <c r="P25" i="8" s="1"/>
  <c r="K25" i="8" a="1"/>
  <c r="K25" i="8" s="1"/>
  <c r="F25" i="8" a="1"/>
  <c r="F25" i="8" s="1"/>
  <c r="P24" i="8" a="1"/>
  <c r="P24" i="8" s="1"/>
  <c r="K24" i="8" a="1"/>
  <c r="K24" i="8" s="1"/>
  <c r="F24" i="8" a="1"/>
  <c r="F24" i="8" s="1"/>
  <c r="P23" i="8" a="1"/>
  <c r="P23" i="8" s="1"/>
  <c r="K23" i="8" a="1"/>
  <c r="K23" i="8" s="1"/>
  <c r="F23" i="8" a="1"/>
  <c r="F23" i="8" s="1"/>
  <c r="P22" i="8" a="1"/>
  <c r="P22" i="8" s="1"/>
  <c r="K22" i="8" a="1"/>
  <c r="K22" i="8" s="1"/>
  <c r="F22" i="8" a="1"/>
  <c r="F22" i="8" s="1"/>
  <c r="P21" i="8" a="1"/>
  <c r="P21" i="8" s="1"/>
  <c r="K21" i="8" a="1"/>
  <c r="K21" i="8" s="1"/>
  <c r="F21" i="8" a="1"/>
  <c r="F21" i="8" s="1"/>
  <c r="P20" i="8" a="1"/>
  <c r="P20" i="8" s="1"/>
  <c r="K20" i="8" a="1"/>
  <c r="K20" i="8" s="1"/>
  <c r="F20" i="8" a="1"/>
  <c r="F20" i="8" s="1"/>
  <c r="P19" i="8" a="1"/>
  <c r="P19" i="8" s="1"/>
  <c r="K19" i="8" a="1"/>
  <c r="K19" i="8" s="1"/>
  <c r="F19" i="8" a="1"/>
  <c r="F19" i="8" s="1"/>
  <c r="P18" i="8" a="1"/>
  <c r="P18" i="8" s="1"/>
  <c r="K18" i="8" a="1"/>
  <c r="K18" i="8" s="1"/>
  <c r="F18" i="8" a="1"/>
  <c r="F18" i="8" s="1"/>
  <c r="P17" i="8" a="1"/>
  <c r="P17" i="8" s="1"/>
  <c r="K17" i="8" a="1"/>
  <c r="K17" i="8" s="1"/>
  <c r="F17" i="8" a="1"/>
  <c r="F17" i="8" s="1"/>
  <c r="P16" i="8" a="1"/>
  <c r="P16" i="8" s="1"/>
  <c r="K16" i="8" a="1"/>
  <c r="K16" i="8" s="1"/>
  <c r="F16" i="8" a="1"/>
  <c r="F16" i="8" s="1"/>
  <c r="P15" i="8" a="1"/>
  <c r="P15" i="8" s="1"/>
  <c r="K15" i="8" a="1"/>
  <c r="K15" i="8" s="1"/>
  <c r="F15" i="8" a="1"/>
  <c r="F15" i="8" s="1"/>
  <c r="P14" i="8" a="1"/>
  <c r="P14" i="8" s="1"/>
  <c r="K14" i="8" a="1"/>
  <c r="K14" i="8" s="1"/>
  <c r="F14" i="8" a="1"/>
  <c r="F14" i="8" s="1"/>
  <c r="P13" i="8" a="1"/>
  <c r="P13" i="8" s="1"/>
  <c r="K13" i="8" a="1"/>
  <c r="K13" i="8" s="1"/>
  <c r="F13" i="8" a="1"/>
  <c r="F13" i="8" s="1"/>
  <c r="P12" i="8" a="1"/>
  <c r="P12" i="8" s="1"/>
  <c r="K12" i="8" a="1"/>
  <c r="K12" i="8" s="1"/>
  <c r="F12" i="8" a="1"/>
  <c r="F12" i="8" s="1"/>
  <c r="P11" i="8" a="1"/>
  <c r="P11" i="8" s="1"/>
  <c r="K11" i="8" a="1"/>
  <c r="K11" i="8" s="1"/>
  <c r="F11" i="8" a="1"/>
  <c r="F11" i="8" s="1"/>
  <c r="P10" i="8" a="1"/>
  <c r="P10" i="8" s="1"/>
  <c r="K10" i="8" a="1"/>
  <c r="K10" i="8" s="1"/>
  <c r="F10" i="8" a="1"/>
  <c r="F10" i="8" s="1"/>
  <c r="P9" i="8" a="1"/>
  <c r="P9" i="8" s="1"/>
  <c r="K9" i="8" a="1"/>
  <c r="K9" i="8" s="1"/>
  <c r="F9" i="8" a="1"/>
  <c r="F9" i="8" s="1"/>
  <c r="P8" i="8" a="1"/>
  <c r="P8" i="8" s="1"/>
  <c r="K8" i="8" a="1"/>
  <c r="K8" i="8" s="1"/>
  <c r="F8" i="8" a="1"/>
  <c r="F8" i="8" s="1"/>
  <c r="P7" i="8" a="1"/>
  <c r="P7" i="8" s="1"/>
  <c r="K7" i="8" a="1"/>
  <c r="K7" i="8" s="1"/>
  <c r="F7" i="8" a="1"/>
  <c r="F7" i="8" s="1"/>
  <c r="P6" i="8" a="1"/>
  <c r="P6" i="8" s="1"/>
  <c r="K6" i="8" a="1"/>
  <c r="K6" i="8" s="1"/>
  <c r="F6" i="8" a="1"/>
  <c r="F6" i="8" s="1"/>
  <c r="P5" i="8" a="1"/>
  <c r="P5" i="8" s="1"/>
  <c r="K5" i="8" a="1"/>
  <c r="K5" i="8" s="1"/>
  <c r="F5" i="8" a="1"/>
  <c r="F5" i="8" s="1"/>
  <c r="P4" i="8" a="1"/>
  <c r="P4" i="8" s="1"/>
  <c r="K4" i="8" a="1"/>
  <c r="K4" i="8" s="1"/>
  <c r="F4" i="8" a="1"/>
  <c r="F4" i="8" s="1"/>
  <c r="O34" i="7" a="1"/>
  <c r="O34" i="7" s="1"/>
  <c r="N34" i="7" a="1"/>
  <c r="N34" i="7" s="1"/>
  <c r="M34" i="7" a="1"/>
  <c r="M34" i="7" s="1"/>
  <c r="J34" i="7" a="1"/>
  <c r="J34" i="7" s="1"/>
  <c r="I34" i="7" a="1"/>
  <c r="I34" i="7" s="1"/>
  <c r="H34" i="7" a="1"/>
  <c r="H34" i="7" s="1"/>
  <c r="K34" i="7" s="1" a="1"/>
  <c r="K34" i="7" s="1"/>
  <c r="E34" i="7" a="1"/>
  <c r="E34" i="7" s="1"/>
  <c r="D34" i="7" a="1"/>
  <c r="D34" i="7" s="1"/>
  <c r="C34" i="7" a="1"/>
  <c r="C34" i="7" s="1"/>
  <c r="P33" i="7" a="1"/>
  <c r="P33" i="7" s="1"/>
  <c r="K33" i="7" a="1"/>
  <c r="K33" i="7" s="1"/>
  <c r="P32" i="7" a="1"/>
  <c r="P32" i="7" s="1"/>
  <c r="K32" i="7" a="1"/>
  <c r="K32" i="7" s="1"/>
  <c r="F32" i="7" a="1"/>
  <c r="F32" i="7" s="1"/>
  <c r="P31" i="7" a="1"/>
  <c r="P31" i="7" s="1"/>
  <c r="K31" i="7" a="1"/>
  <c r="K31" i="7" s="1"/>
  <c r="F31" i="7" a="1"/>
  <c r="F31" i="7" s="1"/>
  <c r="P30" i="7" a="1"/>
  <c r="P30" i="7" s="1"/>
  <c r="K30" i="7" a="1"/>
  <c r="K30" i="7" s="1"/>
  <c r="F30" i="7" a="1"/>
  <c r="F30" i="7" s="1"/>
  <c r="P29" i="7" a="1"/>
  <c r="P29" i="7" s="1"/>
  <c r="K29" i="7" a="1"/>
  <c r="K29" i="7" s="1"/>
  <c r="F29" i="7" a="1"/>
  <c r="F29" i="7" s="1"/>
  <c r="P28" i="7" a="1"/>
  <c r="P28" i="7" s="1"/>
  <c r="K28" i="7" a="1"/>
  <c r="K28" i="7" s="1"/>
  <c r="F28" i="7" a="1"/>
  <c r="F28" i="7" s="1"/>
  <c r="P27" i="7" a="1"/>
  <c r="P27" i="7" s="1"/>
  <c r="K27" i="7" a="1"/>
  <c r="K27" i="7" s="1"/>
  <c r="F27" i="7" a="1"/>
  <c r="F27" i="7" s="1"/>
  <c r="P26" i="7" a="1"/>
  <c r="P26" i="7" s="1"/>
  <c r="K26" i="7" a="1"/>
  <c r="K26" i="7" s="1"/>
  <c r="F26" i="7" a="1"/>
  <c r="F26" i="7" s="1"/>
  <c r="P25" i="7" a="1"/>
  <c r="P25" i="7" s="1"/>
  <c r="K25" i="7" a="1"/>
  <c r="K25" i="7" s="1"/>
  <c r="F25" i="7" a="1"/>
  <c r="F25" i="7" s="1"/>
  <c r="P24" i="7" a="1"/>
  <c r="P24" i="7" s="1"/>
  <c r="K24" i="7" a="1"/>
  <c r="K24" i="7" s="1"/>
  <c r="F24" i="7" a="1"/>
  <c r="F24" i="7" s="1"/>
  <c r="P23" i="7" a="1"/>
  <c r="P23" i="7" s="1"/>
  <c r="K23" i="7" a="1"/>
  <c r="K23" i="7" s="1"/>
  <c r="F23" i="7" a="1"/>
  <c r="F23" i="7" s="1"/>
  <c r="P22" i="7" a="1"/>
  <c r="P22" i="7" s="1"/>
  <c r="K22" i="7" a="1"/>
  <c r="K22" i="7" s="1"/>
  <c r="F22" i="7" a="1"/>
  <c r="F22" i="7" s="1"/>
  <c r="P21" i="7" a="1"/>
  <c r="P21" i="7" s="1"/>
  <c r="K21" i="7" a="1"/>
  <c r="K21" i="7" s="1"/>
  <c r="F21" i="7" a="1"/>
  <c r="F21" i="7" s="1"/>
  <c r="P20" i="7" a="1"/>
  <c r="P20" i="7" s="1"/>
  <c r="K20" i="7" a="1"/>
  <c r="K20" i="7" s="1"/>
  <c r="F20" i="7" a="1"/>
  <c r="F20" i="7" s="1"/>
  <c r="P19" i="7" a="1"/>
  <c r="P19" i="7" s="1"/>
  <c r="K19" i="7" a="1"/>
  <c r="K19" i="7" s="1"/>
  <c r="F19" i="7" a="1"/>
  <c r="F19" i="7" s="1"/>
  <c r="P18" i="7" a="1"/>
  <c r="P18" i="7" s="1"/>
  <c r="K18" i="7" a="1"/>
  <c r="K18" i="7" s="1"/>
  <c r="F18" i="7" a="1"/>
  <c r="F18" i="7" s="1"/>
  <c r="P17" i="7" a="1"/>
  <c r="P17" i="7" s="1"/>
  <c r="K17" i="7" a="1"/>
  <c r="K17" i="7" s="1"/>
  <c r="F17" i="7" a="1"/>
  <c r="F17" i="7" s="1"/>
  <c r="P16" i="7" a="1"/>
  <c r="P16" i="7" s="1"/>
  <c r="K16" i="7" a="1"/>
  <c r="K16" i="7" s="1"/>
  <c r="F16" i="7" a="1"/>
  <c r="F16" i="7" s="1"/>
  <c r="P15" i="7" a="1"/>
  <c r="P15" i="7" s="1"/>
  <c r="K15" i="7" a="1"/>
  <c r="K15" i="7" s="1"/>
  <c r="F15" i="7" a="1"/>
  <c r="F15" i="7" s="1"/>
  <c r="P14" i="7" a="1"/>
  <c r="P14" i="7" s="1"/>
  <c r="K14" i="7" a="1"/>
  <c r="K14" i="7" s="1"/>
  <c r="F14" i="7" a="1"/>
  <c r="F14" i="7" s="1"/>
  <c r="P13" i="7" a="1"/>
  <c r="P13" i="7" s="1"/>
  <c r="K13" i="7" a="1"/>
  <c r="K13" i="7" s="1"/>
  <c r="F13" i="7" a="1"/>
  <c r="F13" i="7" s="1"/>
  <c r="P12" i="7" a="1"/>
  <c r="P12" i="7" s="1"/>
  <c r="K12" i="7" a="1"/>
  <c r="K12" i="7" s="1"/>
  <c r="F12" i="7" a="1"/>
  <c r="F12" i="7" s="1"/>
  <c r="P11" i="7" a="1"/>
  <c r="P11" i="7" s="1"/>
  <c r="K11" i="7" a="1"/>
  <c r="K11" i="7" s="1"/>
  <c r="F11" i="7" a="1"/>
  <c r="F11" i="7" s="1"/>
  <c r="P10" i="7" a="1"/>
  <c r="P10" i="7" s="1"/>
  <c r="K10" i="7" a="1"/>
  <c r="K10" i="7" s="1"/>
  <c r="F10" i="7" a="1"/>
  <c r="F10" i="7" s="1"/>
  <c r="P9" i="7" a="1"/>
  <c r="P9" i="7" s="1"/>
  <c r="K9" i="7" a="1"/>
  <c r="K9" i="7" s="1"/>
  <c r="F9" i="7" a="1"/>
  <c r="F9" i="7" s="1"/>
  <c r="P8" i="7" a="1"/>
  <c r="P8" i="7" s="1"/>
  <c r="K8" i="7" a="1"/>
  <c r="K8" i="7" s="1"/>
  <c r="F8" i="7" a="1"/>
  <c r="F8" i="7" s="1"/>
  <c r="P7" i="7" a="1"/>
  <c r="P7" i="7" s="1"/>
  <c r="K7" i="7" a="1"/>
  <c r="K7" i="7" s="1"/>
  <c r="F7" i="7" a="1"/>
  <c r="F7" i="7" s="1"/>
  <c r="P6" i="7" a="1"/>
  <c r="P6" i="7" s="1"/>
  <c r="K6" i="7" a="1"/>
  <c r="K6" i="7" s="1"/>
  <c r="F6" i="7" a="1"/>
  <c r="F6" i="7" s="1"/>
  <c r="P5" i="7" a="1"/>
  <c r="P5" i="7" s="1"/>
  <c r="K5" i="7" a="1"/>
  <c r="K5" i="7" s="1"/>
  <c r="F5" i="7" a="1"/>
  <c r="F5" i="7" s="1"/>
  <c r="P4" i="7" a="1"/>
  <c r="P4" i="7" s="1"/>
  <c r="K4" i="7" a="1"/>
  <c r="K4" i="7" s="1"/>
  <c r="F4" i="7" a="1"/>
  <c r="F4" i="7" s="1"/>
  <c r="O35" i="6" a="1"/>
  <c r="O35" i="6" s="1"/>
  <c r="N35" i="6" a="1"/>
  <c r="N35" i="6" s="1"/>
  <c r="M35" i="6" a="1"/>
  <c r="M35" i="6" s="1"/>
  <c r="J35" i="6" a="1"/>
  <c r="J35" i="6" s="1"/>
  <c r="I35" i="6" a="1"/>
  <c r="I35" i="6" s="1"/>
  <c r="H35" i="6" a="1"/>
  <c r="H35" i="6" s="1"/>
  <c r="K35" i="6" s="1" a="1"/>
  <c r="K35" i="6" s="1"/>
  <c r="E35" i="6" a="1"/>
  <c r="E35" i="6" s="1"/>
  <c r="D35" i="6" a="1"/>
  <c r="D35" i="6" s="1"/>
  <c r="C35" i="6" a="1"/>
  <c r="C35" i="6" s="1"/>
  <c r="F35" i="6" s="1" a="1"/>
  <c r="F35" i="6" s="1"/>
  <c r="P34" i="6" a="1"/>
  <c r="P34" i="6" s="1"/>
  <c r="K34" i="6" a="1"/>
  <c r="K34" i="6" s="1"/>
  <c r="F34" i="6" a="1"/>
  <c r="F34" i="6" s="1"/>
  <c r="P33" i="6" a="1"/>
  <c r="P33" i="6" s="1"/>
  <c r="K33" i="6" a="1"/>
  <c r="K33" i="6" s="1"/>
  <c r="F33" i="6" a="1"/>
  <c r="F33" i="6" s="1"/>
  <c r="P32" i="6" a="1"/>
  <c r="P32" i="6" s="1"/>
  <c r="K32" i="6" a="1"/>
  <c r="K32" i="6" s="1"/>
  <c r="F32" i="6" a="1"/>
  <c r="F32" i="6" s="1"/>
  <c r="P31" i="6" a="1"/>
  <c r="P31" i="6" s="1"/>
  <c r="K31" i="6" a="1"/>
  <c r="K31" i="6" s="1"/>
  <c r="F31" i="6" a="1"/>
  <c r="F31" i="6" s="1"/>
  <c r="P30" i="6" a="1"/>
  <c r="P30" i="6" s="1"/>
  <c r="K30" i="6" a="1"/>
  <c r="K30" i="6" s="1"/>
  <c r="F30" i="6" a="1"/>
  <c r="F30" i="6" s="1"/>
  <c r="P29" i="6" a="1"/>
  <c r="P29" i="6" s="1"/>
  <c r="K29" i="6" a="1"/>
  <c r="K29" i="6" s="1"/>
  <c r="F29" i="6" a="1"/>
  <c r="F29" i="6" s="1"/>
  <c r="P28" i="6" a="1"/>
  <c r="P28" i="6" s="1"/>
  <c r="K28" i="6" a="1"/>
  <c r="K28" i="6" s="1"/>
  <c r="F28" i="6" a="1"/>
  <c r="F28" i="6" s="1"/>
  <c r="P27" i="6" a="1"/>
  <c r="P27" i="6" s="1"/>
  <c r="K27" i="6" a="1"/>
  <c r="K27" i="6" s="1"/>
  <c r="F27" i="6" a="1"/>
  <c r="F27" i="6" s="1"/>
  <c r="P26" i="6" a="1"/>
  <c r="P26" i="6" s="1"/>
  <c r="K26" i="6" a="1"/>
  <c r="K26" i="6" s="1"/>
  <c r="F26" i="6" a="1"/>
  <c r="F26" i="6" s="1"/>
  <c r="P25" i="6" a="1"/>
  <c r="P25" i="6" s="1"/>
  <c r="K25" i="6" a="1"/>
  <c r="K25" i="6" s="1"/>
  <c r="F25" i="6" a="1"/>
  <c r="F25" i="6" s="1"/>
  <c r="P24" i="6" a="1"/>
  <c r="P24" i="6" s="1"/>
  <c r="K24" i="6" a="1"/>
  <c r="K24" i="6" s="1"/>
  <c r="F24" i="6" a="1"/>
  <c r="F24" i="6" s="1"/>
  <c r="P23" i="6" a="1"/>
  <c r="P23" i="6" s="1"/>
  <c r="K23" i="6" a="1"/>
  <c r="K23" i="6" s="1"/>
  <c r="F23" i="6" a="1"/>
  <c r="F23" i="6" s="1"/>
  <c r="P22" i="6" a="1"/>
  <c r="P22" i="6" s="1"/>
  <c r="K22" i="6" a="1"/>
  <c r="K22" i="6" s="1"/>
  <c r="F22" i="6" a="1"/>
  <c r="F22" i="6" s="1"/>
  <c r="P21" i="6" a="1"/>
  <c r="P21" i="6" s="1"/>
  <c r="K21" i="6" a="1"/>
  <c r="K21" i="6" s="1"/>
  <c r="F21" i="6" a="1"/>
  <c r="F21" i="6" s="1"/>
  <c r="P20" i="6" a="1"/>
  <c r="P20" i="6" s="1"/>
  <c r="K20" i="6" a="1"/>
  <c r="K20" i="6" s="1"/>
  <c r="F20" i="6" a="1"/>
  <c r="F20" i="6" s="1"/>
  <c r="P19" i="6" a="1"/>
  <c r="P19" i="6" s="1"/>
  <c r="K19" i="6" a="1"/>
  <c r="K19" i="6" s="1"/>
  <c r="F19" i="6" a="1"/>
  <c r="F19" i="6" s="1"/>
  <c r="P18" i="6" a="1"/>
  <c r="P18" i="6" s="1"/>
  <c r="K18" i="6" a="1"/>
  <c r="K18" i="6" s="1"/>
  <c r="F18" i="6" a="1"/>
  <c r="F18" i="6" s="1"/>
  <c r="P17" i="6" a="1"/>
  <c r="P17" i="6" s="1"/>
  <c r="K17" i="6" a="1"/>
  <c r="K17" i="6" s="1"/>
  <c r="F17" i="6" a="1"/>
  <c r="F17" i="6" s="1"/>
  <c r="P16" i="6" a="1"/>
  <c r="P16" i="6" s="1"/>
  <c r="K16" i="6" a="1"/>
  <c r="K16" i="6" s="1"/>
  <c r="F16" i="6" a="1"/>
  <c r="F16" i="6" s="1"/>
  <c r="P15" i="6" a="1"/>
  <c r="P15" i="6" s="1"/>
  <c r="K15" i="6" a="1"/>
  <c r="K15" i="6" s="1"/>
  <c r="F15" i="6" a="1"/>
  <c r="F15" i="6" s="1"/>
  <c r="P14" i="6" a="1"/>
  <c r="P14" i="6" s="1"/>
  <c r="K14" i="6" a="1"/>
  <c r="K14" i="6" s="1"/>
  <c r="F14" i="6" a="1"/>
  <c r="F14" i="6" s="1"/>
  <c r="P13" i="6" a="1"/>
  <c r="P13" i="6" s="1"/>
  <c r="K13" i="6" a="1"/>
  <c r="K13" i="6" s="1"/>
  <c r="F13" i="6" a="1"/>
  <c r="F13" i="6" s="1"/>
  <c r="P12" i="6" a="1"/>
  <c r="P12" i="6" s="1"/>
  <c r="K12" i="6" a="1"/>
  <c r="K12" i="6" s="1"/>
  <c r="F12" i="6" a="1"/>
  <c r="F12" i="6" s="1"/>
  <c r="P11" i="6" a="1"/>
  <c r="P11" i="6" s="1"/>
  <c r="K11" i="6" a="1"/>
  <c r="K11" i="6" s="1"/>
  <c r="F11" i="6" a="1"/>
  <c r="F11" i="6" s="1"/>
  <c r="P10" i="6" a="1"/>
  <c r="P10" i="6" s="1"/>
  <c r="K10" i="6" a="1"/>
  <c r="K10" i="6" s="1"/>
  <c r="F10" i="6" a="1"/>
  <c r="F10" i="6" s="1"/>
  <c r="P9" i="6" a="1"/>
  <c r="P9" i="6" s="1"/>
  <c r="K9" i="6" a="1"/>
  <c r="K9" i="6" s="1"/>
  <c r="F9" i="6" a="1"/>
  <c r="F9" i="6" s="1"/>
  <c r="P8" i="6" a="1"/>
  <c r="P8" i="6" s="1"/>
  <c r="K8" i="6" a="1"/>
  <c r="K8" i="6" s="1"/>
  <c r="F8" i="6" a="1"/>
  <c r="F8" i="6" s="1"/>
  <c r="P7" i="6" a="1"/>
  <c r="P7" i="6" s="1"/>
  <c r="K7" i="6" a="1"/>
  <c r="K7" i="6" s="1"/>
  <c r="F7" i="6" a="1"/>
  <c r="F7" i="6" s="1"/>
  <c r="P6" i="6" a="1"/>
  <c r="P6" i="6" s="1"/>
  <c r="K6" i="6" a="1"/>
  <c r="K6" i="6" s="1"/>
  <c r="F6" i="6" a="1"/>
  <c r="F6" i="6" s="1"/>
  <c r="P5" i="6" a="1"/>
  <c r="P5" i="6" s="1"/>
  <c r="K5" i="6" a="1"/>
  <c r="K5" i="6" s="1"/>
  <c r="F5" i="6" a="1"/>
  <c r="F5" i="6" s="1"/>
  <c r="P4" i="6" a="1"/>
  <c r="P4" i="6" s="1"/>
  <c r="K4" i="6" a="1"/>
  <c r="K4" i="6" s="1"/>
  <c r="F4" i="6" a="1"/>
  <c r="F4" i="6" s="1"/>
  <c r="O34" i="5" a="1"/>
  <c r="O34" i="5" s="1"/>
  <c r="N34" i="5" a="1"/>
  <c r="N34" i="5" s="1"/>
  <c r="M34" i="5" a="1"/>
  <c r="M34" i="5" s="1"/>
  <c r="L34" i="5" a="1"/>
  <c r="L34" i="5" s="1"/>
  <c r="J34" i="5" a="1"/>
  <c r="J34" i="5" s="1"/>
  <c r="I34" i="5" a="1"/>
  <c r="I34" i="5" s="1"/>
  <c r="H34" i="5" a="1"/>
  <c r="H34" i="5" s="1"/>
  <c r="G34" i="5" a="1"/>
  <c r="G34" i="5" s="1"/>
  <c r="E34" i="5" a="1"/>
  <c r="E34" i="5" s="1"/>
  <c r="D34" i="5" a="1"/>
  <c r="D34" i="5" s="1"/>
  <c r="C34" i="5" a="1"/>
  <c r="C34" i="5" s="1"/>
  <c r="B34" i="5" a="1"/>
  <c r="B34" i="5" s="1"/>
  <c r="P33" i="5" a="1"/>
  <c r="P33" i="5" s="1"/>
  <c r="K33" i="5" a="1"/>
  <c r="K33" i="5" s="1"/>
  <c r="P32" i="5" a="1"/>
  <c r="P32" i="5" s="1"/>
  <c r="K32" i="5" a="1"/>
  <c r="K32" i="5" s="1"/>
  <c r="F32" i="5" a="1"/>
  <c r="F32" i="5" s="1"/>
  <c r="P31" i="5" a="1"/>
  <c r="P31" i="5" s="1"/>
  <c r="K31" i="5" a="1"/>
  <c r="K31" i="5" s="1"/>
  <c r="F31" i="5" a="1"/>
  <c r="F31" i="5" s="1"/>
  <c r="P30" i="5" a="1"/>
  <c r="P30" i="5" s="1"/>
  <c r="K30" i="5" a="1"/>
  <c r="K30" i="5" s="1"/>
  <c r="F30" i="5" a="1"/>
  <c r="F30" i="5" s="1"/>
  <c r="P29" i="5" a="1"/>
  <c r="P29" i="5" s="1"/>
  <c r="K29" i="5" a="1"/>
  <c r="K29" i="5" s="1"/>
  <c r="F29" i="5" a="1"/>
  <c r="F29" i="5" s="1"/>
  <c r="P28" i="5" a="1"/>
  <c r="P28" i="5" s="1"/>
  <c r="K28" i="5" a="1"/>
  <c r="K28" i="5" s="1"/>
  <c r="F28" i="5" a="1"/>
  <c r="F28" i="5" s="1"/>
  <c r="P27" i="5" a="1"/>
  <c r="P27" i="5" s="1"/>
  <c r="K27" i="5" a="1"/>
  <c r="K27" i="5" s="1"/>
  <c r="F27" i="5" a="1"/>
  <c r="F27" i="5" s="1"/>
  <c r="P26" i="5" a="1"/>
  <c r="P26" i="5" s="1"/>
  <c r="K26" i="5" a="1"/>
  <c r="K26" i="5" s="1"/>
  <c r="F26" i="5" a="1"/>
  <c r="F26" i="5" s="1"/>
  <c r="P25" i="5" a="1"/>
  <c r="P25" i="5" s="1"/>
  <c r="K25" i="5" a="1"/>
  <c r="K25" i="5" s="1"/>
  <c r="F25" i="5" a="1"/>
  <c r="F25" i="5" s="1"/>
  <c r="P24" i="5" a="1"/>
  <c r="P24" i="5" s="1"/>
  <c r="K24" i="5" a="1"/>
  <c r="K24" i="5" s="1"/>
  <c r="F24" i="5" a="1"/>
  <c r="F24" i="5" s="1"/>
  <c r="P23" i="5" a="1"/>
  <c r="P23" i="5" s="1"/>
  <c r="K23" i="5" a="1"/>
  <c r="K23" i="5" s="1"/>
  <c r="F23" i="5" a="1"/>
  <c r="F23" i="5" s="1"/>
  <c r="P22" i="5" a="1"/>
  <c r="P22" i="5" s="1"/>
  <c r="K22" i="5" a="1"/>
  <c r="K22" i="5" s="1"/>
  <c r="F22" i="5" a="1"/>
  <c r="F22" i="5" s="1"/>
  <c r="P21" i="5" a="1"/>
  <c r="P21" i="5" s="1"/>
  <c r="K21" i="5" a="1"/>
  <c r="K21" i="5" s="1"/>
  <c r="F21" i="5" a="1"/>
  <c r="F21" i="5" s="1"/>
  <c r="P20" i="5" a="1"/>
  <c r="P20" i="5" s="1"/>
  <c r="K20" i="5" a="1"/>
  <c r="K20" i="5" s="1"/>
  <c r="F20" i="5" a="1"/>
  <c r="F20" i="5" s="1"/>
  <c r="P19" i="5" a="1"/>
  <c r="P19" i="5" s="1"/>
  <c r="K19" i="5" a="1"/>
  <c r="K19" i="5" s="1"/>
  <c r="F19" i="5" a="1"/>
  <c r="F19" i="5" s="1"/>
  <c r="P18" i="5" a="1"/>
  <c r="P18" i="5" s="1"/>
  <c r="K18" i="5" a="1"/>
  <c r="K18" i="5" s="1"/>
  <c r="F18" i="5" a="1"/>
  <c r="F18" i="5" s="1"/>
  <c r="P17" i="5" a="1"/>
  <c r="P17" i="5" s="1"/>
  <c r="K17" i="5" a="1"/>
  <c r="K17" i="5" s="1"/>
  <c r="F17" i="5" a="1"/>
  <c r="F17" i="5" s="1"/>
  <c r="P16" i="5" a="1"/>
  <c r="P16" i="5" s="1"/>
  <c r="K16" i="5" a="1"/>
  <c r="K16" i="5" s="1"/>
  <c r="F16" i="5" a="1"/>
  <c r="F16" i="5" s="1"/>
  <c r="P15" i="5" a="1"/>
  <c r="P15" i="5" s="1"/>
  <c r="K15" i="5" a="1"/>
  <c r="K15" i="5" s="1"/>
  <c r="F15" i="5" a="1"/>
  <c r="F15" i="5" s="1"/>
  <c r="P14" i="5" a="1"/>
  <c r="P14" i="5" s="1"/>
  <c r="K14" i="5" a="1"/>
  <c r="K14" i="5" s="1"/>
  <c r="F14" i="5" a="1"/>
  <c r="F14" i="5" s="1"/>
  <c r="P13" i="5" a="1"/>
  <c r="P13" i="5" s="1"/>
  <c r="K13" i="5" a="1"/>
  <c r="K13" i="5" s="1"/>
  <c r="F13" i="5" a="1"/>
  <c r="F13" i="5" s="1"/>
  <c r="P12" i="5" a="1"/>
  <c r="P12" i="5" s="1"/>
  <c r="K12" i="5" a="1"/>
  <c r="K12" i="5" s="1"/>
  <c r="F12" i="5" a="1"/>
  <c r="F12" i="5" s="1"/>
  <c r="P11" i="5" a="1"/>
  <c r="P11" i="5" s="1"/>
  <c r="K11" i="5" a="1"/>
  <c r="K11" i="5" s="1"/>
  <c r="F11" i="5" a="1"/>
  <c r="F11" i="5" s="1"/>
  <c r="P10" i="5" a="1"/>
  <c r="P10" i="5" s="1"/>
  <c r="K10" i="5" a="1"/>
  <c r="K10" i="5" s="1"/>
  <c r="F10" i="5" a="1"/>
  <c r="F10" i="5" s="1"/>
  <c r="P9" i="5" a="1"/>
  <c r="P9" i="5" s="1"/>
  <c r="K9" i="5" a="1"/>
  <c r="K9" i="5" s="1"/>
  <c r="F9" i="5" a="1"/>
  <c r="F9" i="5" s="1"/>
  <c r="P8" i="5" a="1"/>
  <c r="P8" i="5" s="1"/>
  <c r="K8" i="5" a="1"/>
  <c r="K8" i="5" s="1"/>
  <c r="F8" i="5" a="1"/>
  <c r="F8" i="5" s="1"/>
  <c r="P7" i="5" a="1"/>
  <c r="P7" i="5" s="1"/>
  <c r="K7" i="5" a="1"/>
  <c r="K7" i="5" s="1"/>
  <c r="F7" i="5" a="1"/>
  <c r="F7" i="5" s="1"/>
  <c r="P6" i="5" a="1"/>
  <c r="P6" i="5" s="1"/>
  <c r="K6" i="5" a="1"/>
  <c r="K6" i="5" s="1"/>
  <c r="F6" i="5" a="1"/>
  <c r="F6" i="5" s="1"/>
  <c r="P5" i="5" a="1"/>
  <c r="P5" i="5" s="1"/>
  <c r="K5" i="5" a="1"/>
  <c r="K5" i="5" s="1"/>
  <c r="F5" i="5" a="1"/>
  <c r="F5" i="5" s="1"/>
  <c r="P4" i="5" a="1"/>
  <c r="P4" i="5" s="1"/>
  <c r="K4" i="5" a="1"/>
  <c r="K4" i="5" s="1"/>
  <c r="F4" i="5" a="1"/>
  <c r="F4" i="5" s="1"/>
  <c r="O35" i="4" a="1"/>
  <c r="O35" i="4" s="1"/>
  <c r="N35" i="4" a="1"/>
  <c r="N35" i="4" s="1"/>
  <c r="M35" i="4" a="1"/>
  <c r="M35" i="4" s="1"/>
  <c r="P35" i="4" s="1" a="1"/>
  <c r="P35" i="4" s="1"/>
  <c r="J35" i="4" a="1"/>
  <c r="J35" i="4" s="1"/>
  <c r="I35" i="4" a="1"/>
  <c r="I35" i="4" s="1"/>
  <c r="H35" i="4" a="1"/>
  <c r="H35" i="4" s="1"/>
  <c r="E35" i="4" a="1"/>
  <c r="E35" i="4" s="1"/>
  <c r="D35" i="4" a="1"/>
  <c r="D35" i="4" s="1"/>
  <c r="C35" i="4" a="1"/>
  <c r="C35" i="4" s="1"/>
  <c r="P34" i="4" a="1"/>
  <c r="P34" i="4" s="1"/>
  <c r="K34" i="4" a="1"/>
  <c r="K34" i="4" s="1"/>
  <c r="F34" i="4" a="1"/>
  <c r="F34" i="4" s="1"/>
  <c r="P33" i="4" a="1"/>
  <c r="P33" i="4" s="1"/>
  <c r="K33" i="4" a="1"/>
  <c r="K33" i="4" s="1"/>
  <c r="F33" i="4" a="1"/>
  <c r="F33" i="4" s="1"/>
  <c r="P32" i="4" a="1"/>
  <c r="P32" i="4" s="1"/>
  <c r="K32" i="4" a="1"/>
  <c r="K32" i="4" s="1"/>
  <c r="F32" i="4" a="1"/>
  <c r="F32" i="4" s="1"/>
  <c r="P31" i="4" a="1"/>
  <c r="P31" i="4" s="1"/>
  <c r="K31" i="4" a="1"/>
  <c r="K31" i="4" s="1"/>
  <c r="F31" i="4" a="1"/>
  <c r="F31" i="4" s="1"/>
  <c r="P30" i="4" a="1"/>
  <c r="P30" i="4" s="1"/>
  <c r="K30" i="4" a="1"/>
  <c r="K30" i="4" s="1"/>
  <c r="F30" i="4" a="1"/>
  <c r="F30" i="4" s="1"/>
  <c r="P29" i="4" a="1"/>
  <c r="P29" i="4" s="1"/>
  <c r="K29" i="4" a="1"/>
  <c r="K29" i="4" s="1"/>
  <c r="F29" i="4" a="1"/>
  <c r="F29" i="4" s="1"/>
  <c r="P28" i="4" a="1"/>
  <c r="P28" i="4" s="1"/>
  <c r="K28" i="4" a="1"/>
  <c r="K28" i="4" s="1"/>
  <c r="F28" i="4" a="1"/>
  <c r="F28" i="4" s="1"/>
  <c r="P27" i="4" a="1"/>
  <c r="P27" i="4" s="1"/>
  <c r="K27" i="4" a="1"/>
  <c r="K27" i="4" s="1"/>
  <c r="F27" i="4" a="1"/>
  <c r="F27" i="4" s="1"/>
  <c r="P26" i="4" a="1"/>
  <c r="P26" i="4" s="1"/>
  <c r="K26" i="4" a="1"/>
  <c r="K26" i="4" s="1"/>
  <c r="F26" i="4" a="1"/>
  <c r="F26" i="4" s="1"/>
  <c r="P25" i="4" a="1"/>
  <c r="P25" i="4" s="1"/>
  <c r="K25" i="4" a="1"/>
  <c r="K25" i="4" s="1"/>
  <c r="F25" i="4" a="1"/>
  <c r="F25" i="4" s="1"/>
  <c r="P24" i="4" a="1"/>
  <c r="P24" i="4" s="1"/>
  <c r="K24" i="4" a="1"/>
  <c r="K24" i="4" s="1"/>
  <c r="F24" i="4" a="1"/>
  <c r="F24" i="4" s="1"/>
  <c r="P23" i="4" a="1"/>
  <c r="P23" i="4" s="1"/>
  <c r="K23" i="4" a="1"/>
  <c r="K23" i="4" s="1"/>
  <c r="F23" i="4" a="1"/>
  <c r="F23" i="4" s="1"/>
  <c r="P22" i="4" a="1"/>
  <c r="P22" i="4" s="1"/>
  <c r="K22" i="4" a="1"/>
  <c r="K22" i="4" s="1"/>
  <c r="F22" i="4" a="1"/>
  <c r="F22" i="4" s="1"/>
  <c r="P21" i="4" a="1"/>
  <c r="P21" i="4" s="1"/>
  <c r="K21" i="4" a="1"/>
  <c r="K21" i="4" s="1"/>
  <c r="F21" i="4" a="1"/>
  <c r="F21" i="4" s="1"/>
  <c r="P20" i="4" a="1"/>
  <c r="P20" i="4" s="1"/>
  <c r="K20" i="4" a="1"/>
  <c r="K20" i="4" s="1"/>
  <c r="F20" i="4" a="1"/>
  <c r="F20" i="4" s="1"/>
  <c r="P19" i="4" a="1"/>
  <c r="P19" i="4" s="1"/>
  <c r="K19" i="4" a="1"/>
  <c r="K19" i="4" s="1"/>
  <c r="F19" i="4" a="1"/>
  <c r="F19" i="4" s="1"/>
  <c r="P18" i="4" a="1"/>
  <c r="P18" i="4" s="1"/>
  <c r="K18" i="4" a="1"/>
  <c r="K18" i="4" s="1"/>
  <c r="F18" i="4" a="1"/>
  <c r="F18" i="4" s="1"/>
  <c r="P17" i="4" a="1"/>
  <c r="P17" i="4" s="1"/>
  <c r="K17" i="4" a="1"/>
  <c r="K17" i="4" s="1"/>
  <c r="F17" i="4" a="1"/>
  <c r="F17" i="4" s="1"/>
  <c r="P16" i="4" a="1"/>
  <c r="P16" i="4" s="1"/>
  <c r="K16" i="4" a="1"/>
  <c r="K16" i="4" s="1"/>
  <c r="F16" i="4" a="1"/>
  <c r="F16" i="4" s="1"/>
  <c r="P15" i="4" a="1"/>
  <c r="P15" i="4" s="1"/>
  <c r="K15" i="4" a="1"/>
  <c r="K15" i="4" s="1"/>
  <c r="F15" i="4" a="1"/>
  <c r="F15" i="4" s="1"/>
  <c r="P14" i="4" a="1"/>
  <c r="P14" i="4" s="1"/>
  <c r="K14" i="4" a="1"/>
  <c r="K14" i="4" s="1"/>
  <c r="F14" i="4" a="1"/>
  <c r="F14" i="4" s="1"/>
  <c r="P13" i="4" a="1"/>
  <c r="P13" i="4" s="1"/>
  <c r="K13" i="4" a="1"/>
  <c r="K13" i="4" s="1"/>
  <c r="F13" i="4" a="1"/>
  <c r="F13" i="4" s="1"/>
  <c r="P12" i="4" a="1"/>
  <c r="P12" i="4" s="1"/>
  <c r="K12" i="4" a="1"/>
  <c r="K12" i="4" s="1"/>
  <c r="F12" i="4" a="1"/>
  <c r="F12" i="4" s="1"/>
  <c r="P11" i="4" a="1"/>
  <c r="P11" i="4" s="1"/>
  <c r="K11" i="4" a="1"/>
  <c r="K11" i="4" s="1"/>
  <c r="F11" i="4" a="1"/>
  <c r="F11" i="4" s="1"/>
  <c r="P10" i="4" a="1"/>
  <c r="P10" i="4" s="1"/>
  <c r="K10" i="4" a="1"/>
  <c r="K10" i="4" s="1"/>
  <c r="F10" i="4" a="1"/>
  <c r="F10" i="4" s="1"/>
  <c r="P9" i="4" a="1"/>
  <c r="P9" i="4" s="1"/>
  <c r="K9" i="4" a="1"/>
  <c r="K9" i="4" s="1"/>
  <c r="F9" i="4" a="1"/>
  <c r="F9" i="4" s="1"/>
  <c r="P8" i="4" a="1"/>
  <c r="P8" i="4" s="1"/>
  <c r="K8" i="4" a="1"/>
  <c r="K8" i="4" s="1"/>
  <c r="F8" i="4" a="1"/>
  <c r="F8" i="4" s="1"/>
  <c r="P7" i="4" a="1"/>
  <c r="P7" i="4" s="1"/>
  <c r="K7" i="4" a="1"/>
  <c r="K7" i="4" s="1"/>
  <c r="F7" i="4" a="1"/>
  <c r="F7" i="4" s="1"/>
  <c r="P6" i="4" a="1"/>
  <c r="P6" i="4" s="1"/>
  <c r="K6" i="4" a="1"/>
  <c r="K6" i="4" s="1"/>
  <c r="F6" i="4" a="1"/>
  <c r="F6" i="4" s="1"/>
  <c r="P5" i="4" a="1"/>
  <c r="P5" i="4" s="1"/>
  <c r="K5" i="4" a="1"/>
  <c r="K5" i="4" s="1"/>
  <c r="F5" i="4" a="1"/>
  <c r="F5" i="4" s="1"/>
  <c r="P4" i="4" a="1"/>
  <c r="P4" i="4" s="1"/>
  <c r="K4" i="4" a="1"/>
  <c r="K4" i="4" s="1"/>
  <c r="F4" i="4" a="1"/>
  <c r="F4" i="4" s="1"/>
  <c r="O34" i="3" a="1"/>
  <c r="O34" i="3" s="1"/>
  <c r="N34" i="3" a="1"/>
  <c r="N34" i="3" s="1"/>
  <c r="M34" i="3" a="1"/>
  <c r="M34" i="3" s="1"/>
  <c r="J34" i="3" a="1"/>
  <c r="J34" i="3" s="1"/>
  <c r="I34" i="3" a="1"/>
  <c r="I34" i="3" s="1"/>
  <c r="H34" i="3" a="1"/>
  <c r="H34" i="3" s="1"/>
  <c r="E34" i="3" a="1"/>
  <c r="E34" i="3" s="1"/>
  <c r="D34" i="3" a="1"/>
  <c r="D34" i="3" s="1"/>
  <c r="C34" i="3" a="1"/>
  <c r="C34" i="3" s="1"/>
  <c r="P33" i="3" a="1"/>
  <c r="P33" i="3" s="1"/>
  <c r="K33" i="3" a="1"/>
  <c r="K33" i="3" s="1"/>
  <c r="P32" i="3" a="1"/>
  <c r="P32" i="3" s="1"/>
  <c r="K32" i="3" a="1"/>
  <c r="K32" i="3" s="1"/>
  <c r="F32" i="3" a="1"/>
  <c r="F32" i="3" s="1"/>
  <c r="P31" i="3" a="1"/>
  <c r="P31" i="3" s="1"/>
  <c r="K31" i="3" a="1"/>
  <c r="K31" i="3" s="1"/>
  <c r="F31" i="3" a="1"/>
  <c r="F31" i="3" s="1"/>
  <c r="P30" i="3" a="1"/>
  <c r="P30" i="3" s="1"/>
  <c r="K30" i="3" a="1"/>
  <c r="K30" i="3" s="1"/>
  <c r="F30" i="3" a="1"/>
  <c r="F30" i="3" s="1"/>
  <c r="P29" i="3" a="1"/>
  <c r="P29" i="3" s="1"/>
  <c r="K29" i="3" a="1"/>
  <c r="K29" i="3" s="1"/>
  <c r="F29" i="3" a="1"/>
  <c r="F29" i="3" s="1"/>
  <c r="P28" i="3" a="1"/>
  <c r="P28" i="3" s="1"/>
  <c r="K28" i="3" a="1"/>
  <c r="K28" i="3" s="1"/>
  <c r="F28" i="3" a="1"/>
  <c r="F28" i="3" s="1"/>
  <c r="P27" i="3" a="1"/>
  <c r="P27" i="3" s="1"/>
  <c r="K27" i="3" a="1"/>
  <c r="K27" i="3" s="1"/>
  <c r="F27" i="3" a="1"/>
  <c r="F27" i="3" s="1"/>
  <c r="P26" i="3" a="1"/>
  <c r="P26" i="3" s="1"/>
  <c r="K26" i="3" a="1"/>
  <c r="K26" i="3" s="1"/>
  <c r="P25" i="3" a="1"/>
  <c r="P25" i="3" s="1"/>
  <c r="K25" i="3" a="1"/>
  <c r="K25" i="3" s="1"/>
  <c r="F25" i="3" a="1"/>
  <c r="F25" i="3" s="1"/>
  <c r="P24" i="3" a="1"/>
  <c r="P24" i="3" s="1"/>
  <c r="K24" i="3" a="1"/>
  <c r="K24" i="3" s="1"/>
  <c r="F24" i="3" a="1"/>
  <c r="F24" i="3" s="1"/>
  <c r="P23" i="3" a="1"/>
  <c r="P23" i="3" s="1"/>
  <c r="K23" i="3" a="1"/>
  <c r="K23" i="3" s="1"/>
  <c r="F23" i="3" a="1"/>
  <c r="F23" i="3" s="1"/>
  <c r="P22" i="3" a="1"/>
  <c r="P22" i="3" s="1"/>
  <c r="K22" i="3" a="1"/>
  <c r="K22" i="3" s="1"/>
  <c r="F22" i="3" a="1"/>
  <c r="F22" i="3" s="1"/>
  <c r="P21" i="3" a="1"/>
  <c r="P21" i="3" s="1"/>
  <c r="K21" i="3" a="1"/>
  <c r="K21" i="3" s="1"/>
  <c r="F21" i="3" a="1"/>
  <c r="F21" i="3" s="1"/>
  <c r="P20" i="3" a="1"/>
  <c r="P20" i="3" s="1"/>
  <c r="K20" i="3" a="1"/>
  <c r="K20" i="3" s="1"/>
  <c r="F20" i="3" a="1"/>
  <c r="F20" i="3" s="1"/>
  <c r="P19" i="3" a="1"/>
  <c r="P19" i="3" s="1"/>
  <c r="K19" i="3" a="1"/>
  <c r="K19" i="3" s="1"/>
  <c r="F19" i="3" a="1"/>
  <c r="F19" i="3" s="1"/>
  <c r="P18" i="3" a="1"/>
  <c r="P18" i="3" s="1"/>
  <c r="K18" i="3" a="1"/>
  <c r="K18" i="3" s="1"/>
  <c r="F18" i="3" a="1"/>
  <c r="F18" i="3" s="1"/>
  <c r="P17" i="3" a="1"/>
  <c r="P17" i="3" s="1"/>
  <c r="K17" i="3" a="1"/>
  <c r="K17" i="3" s="1"/>
  <c r="F17" i="3" a="1"/>
  <c r="F17" i="3" s="1"/>
  <c r="P16" i="3" a="1"/>
  <c r="P16" i="3" s="1"/>
  <c r="K16" i="3" a="1"/>
  <c r="K16" i="3" s="1"/>
  <c r="F16" i="3" a="1"/>
  <c r="F16" i="3" s="1"/>
  <c r="P15" i="3" a="1"/>
  <c r="P15" i="3" s="1"/>
  <c r="K15" i="3" a="1"/>
  <c r="K15" i="3" s="1"/>
  <c r="F15" i="3" a="1"/>
  <c r="F15" i="3" s="1"/>
  <c r="P14" i="3" a="1"/>
  <c r="P14" i="3" s="1"/>
  <c r="K14" i="3" a="1"/>
  <c r="K14" i="3" s="1"/>
  <c r="F14" i="3" a="1"/>
  <c r="F14" i="3" s="1"/>
  <c r="P13" i="3" a="1"/>
  <c r="P13" i="3" s="1"/>
  <c r="K13" i="3" a="1"/>
  <c r="K13" i="3" s="1"/>
  <c r="F13" i="3" a="1"/>
  <c r="F13" i="3" s="1"/>
  <c r="P12" i="3" a="1"/>
  <c r="P12" i="3" s="1"/>
  <c r="K12" i="3" a="1"/>
  <c r="K12" i="3" s="1"/>
  <c r="F12" i="3" a="1"/>
  <c r="F12" i="3" s="1"/>
  <c r="P11" i="3" a="1"/>
  <c r="P11" i="3" s="1"/>
  <c r="K11" i="3" a="1"/>
  <c r="K11" i="3" s="1"/>
  <c r="F11" i="3" a="1"/>
  <c r="F11" i="3" s="1"/>
  <c r="P10" i="3" a="1"/>
  <c r="P10" i="3" s="1"/>
  <c r="K10" i="3" a="1"/>
  <c r="K10" i="3" s="1"/>
  <c r="F10" i="3" a="1"/>
  <c r="F10" i="3" s="1"/>
  <c r="P9" i="3" a="1"/>
  <c r="P9" i="3" s="1"/>
  <c r="K9" i="3" a="1"/>
  <c r="K9" i="3" s="1"/>
  <c r="F9" i="3" a="1"/>
  <c r="F9" i="3" s="1"/>
  <c r="P8" i="3" a="1"/>
  <c r="P8" i="3" s="1"/>
  <c r="K8" i="3" a="1"/>
  <c r="K8" i="3" s="1"/>
  <c r="F8" i="3" a="1"/>
  <c r="F8" i="3" s="1"/>
  <c r="P7" i="3" a="1"/>
  <c r="P7" i="3" s="1"/>
  <c r="K7" i="3" a="1"/>
  <c r="K7" i="3" s="1"/>
  <c r="F7" i="3" a="1"/>
  <c r="F7" i="3" s="1"/>
  <c r="P6" i="3" a="1"/>
  <c r="P6" i="3" s="1"/>
  <c r="K6" i="3" a="1"/>
  <c r="K6" i="3" s="1"/>
  <c r="F6" i="3" a="1"/>
  <c r="F6" i="3" s="1"/>
  <c r="P5" i="3" a="1"/>
  <c r="P5" i="3" s="1"/>
  <c r="K5" i="3" a="1"/>
  <c r="K5" i="3" s="1"/>
  <c r="F5" i="3" a="1"/>
  <c r="F5" i="3" s="1"/>
  <c r="P4" i="3" a="1"/>
  <c r="P4" i="3" s="1"/>
  <c r="K4" i="3" a="1"/>
  <c r="K4" i="3" s="1"/>
  <c r="F4" i="3" a="1"/>
  <c r="F4" i="3" s="1"/>
  <c r="O35" i="2" a="1"/>
  <c r="O35" i="2" s="1"/>
  <c r="N35" i="2" a="1"/>
  <c r="N35" i="2" s="1"/>
  <c r="M35" i="2" a="1"/>
  <c r="M35" i="2" s="1"/>
  <c r="J35" i="2" a="1"/>
  <c r="J35" i="2" s="1"/>
  <c r="I35" i="2" a="1"/>
  <c r="I35" i="2" s="1"/>
  <c r="H35" i="2" a="1"/>
  <c r="H35" i="2" s="1"/>
  <c r="E35" i="2" a="1"/>
  <c r="E35" i="2" s="1"/>
  <c r="D35" i="2" a="1"/>
  <c r="D35" i="2" s="1"/>
  <c r="C35" i="2" a="1"/>
  <c r="C35" i="2" s="1"/>
  <c r="P34" i="2" a="1"/>
  <c r="P34" i="2" s="1"/>
  <c r="K34" i="2" a="1"/>
  <c r="K34" i="2" s="1"/>
  <c r="F34" i="2" a="1"/>
  <c r="F34" i="2" s="1"/>
  <c r="P33" i="2" a="1"/>
  <c r="P33" i="2" s="1"/>
  <c r="K33" i="2" a="1"/>
  <c r="K33" i="2" s="1"/>
  <c r="F33" i="2" a="1"/>
  <c r="F33" i="2" s="1"/>
  <c r="P32" i="2" a="1"/>
  <c r="P32" i="2" s="1"/>
  <c r="K32" i="2" a="1"/>
  <c r="K32" i="2" s="1"/>
  <c r="F32" i="2" a="1"/>
  <c r="F32" i="2" s="1"/>
  <c r="P31" i="2" a="1"/>
  <c r="P31" i="2" s="1"/>
  <c r="K31" i="2" a="1"/>
  <c r="K31" i="2" s="1"/>
  <c r="F31" i="2" a="1"/>
  <c r="F31" i="2" s="1"/>
  <c r="P30" i="2" a="1"/>
  <c r="P30" i="2" s="1"/>
  <c r="K30" i="2" a="1"/>
  <c r="K30" i="2" s="1"/>
  <c r="F30" i="2" a="1"/>
  <c r="F30" i="2" s="1"/>
  <c r="P29" i="2" a="1"/>
  <c r="P29" i="2" s="1"/>
  <c r="K29" i="2" a="1"/>
  <c r="K29" i="2" s="1"/>
  <c r="F29" i="2" a="1"/>
  <c r="F29" i="2" s="1"/>
  <c r="P28" i="2" a="1"/>
  <c r="P28" i="2" s="1"/>
  <c r="K28" i="2" a="1"/>
  <c r="K28" i="2" s="1"/>
  <c r="F28" i="2" a="1"/>
  <c r="F28" i="2" s="1"/>
  <c r="P27" i="2" a="1"/>
  <c r="P27" i="2" s="1"/>
  <c r="K27" i="2" a="1"/>
  <c r="K27" i="2" s="1"/>
  <c r="F27" i="2" a="1"/>
  <c r="F27" i="2" s="1"/>
  <c r="P26" i="2" a="1"/>
  <c r="P26" i="2" s="1"/>
  <c r="K26" i="2" a="1"/>
  <c r="K26" i="2" s="1"/>
  <c r="F26" i="2" a="1"/>
  <c r="F26" i="2" s="1"/>
  <c r="P25" i="2" a="1"/>
  <c r="P25" i="2" s="1"/>
  <c r="K25" i="2" a="1"/>
  <c r="K25" i="2" s="1"/>
  <c r="F25" i="2" a="1"/>
  <c r="F25" i="2" s="1"/>
  <c r="P24" i="2" a="1"/>
  <c r="P24" i="2" s="1"/>
  <c r="K24" i="2" a="1"/>
  <c r="K24" i="2" s="1"/>
  <c r="F24" i="2" a="1"/>
  <c r="F24" i="2" s="1"/>
  <c r="P23" i="2" a="1"/>
  <c r="P23" i="2" s="1"/>
  <c r="K23" i="2" a="1"/>
  <c r="K23" i="2" s="1"/>
  <c r="F23" i="2" a="1"/>
  <c r="F23" i="2" s="1"/>
  <c r="P22" i="2" a="1"/>
  <c r="P22" i="2" s="1"/>
  <c r="K22" i="2" a="1"/>
  <c r="K22" i="2" s="1"/>
  <c r="F22" i="2" a="1"/>
  <c r="F22" i="2" s="1"/>
  <c r="P21" i="2" a="1"/>
  <c r="P21" i="2" s="1"/>
  <c r="K21" i="2" a="1"/>
  <c r="K21" i="2" s="1"/>
  <c r="F21" i="2" a="1"/>
  <c r="F21" i="2" s="1"/>
  <c r="P20" i="2" a="1"/>
  <c r="P20" i="2" s="1"/>
  <c r="K20" i="2" a="1"/>
  <c r="K20" i="2" s="1"/>
  <c r="F20" i="2" a="1"/>
  <c r="F20" i="2" s="1"/>
  <c r="P19" i="2" a="1"/>
  <c r="P19" i="2" s="1"/>
  <c r="K19" i="2" a="1"/>
  <c r="K19" i="2" s="1"/>
  <c r="F19" i="2" a="1"/>
  <c r="F19" i="2" s="1"/>
  <c r="P18" i="2" a="1"/>
  <c r="P18" i="2" s="1"/>
  <c r="K18" i="2" a="1"/>
  <c r="K18" i="2" s="1"/>
  <c r="F18" i="2" a="1"/>
  <c r="F18" i="2" s="1"/>
  <c r="P17" i="2" a="1"/>
  <c r="P17" i="2" s="1"/>
  <c r="K17" i="2" a="1"/>
  <c r="K17" i="2" s="1"/>
  <c r="F17" i="2" a="1"/>
  <c r="F17" i="2" s="1"/>
  <c r="P16" i="2" a="1"/>
  <c r="P16" i="2" s="1"/>
  <c r="K16" i="2" a="1"/>
  <c r="K16" i="2" s="1"/>
  <c r="F16" i="2" a="1"/>
  <c r="F16" i="2" s="1"/>
  <c r="P15" i="2" a="1"/>
  <c r="P15" i="2" s="1"/>
  <c r="K15" i="2" a="1"/>
  <c r="K15" i="2" s="1"/>
  <c r="F15" i="2" a="1"/>
  <c r="F15" i="2" s="1"/>
  <c r="P14" i="2" a="1"/>
  <c r="P14" i="2" s="1"/>
  <c r="K14" i="2" a="1"/>
  <c r="K14" i="2" s="1"/>
  <c r="F14" i="2" a="1"/>
  <c r="F14" i="2" s="1"/>
  <c r="P13" i="2" a="1"/>
  <c r="P13" i="2" s="1"/>
  <c r="K13" i="2" a="1"/>
  <c r="K13" i="2" s="1"/>
  <c r="F13" i="2" a="1"/>
  <c r="F13" i="2" s="1"/>
  <c r="P12" i="2" a="1"/>
  <c r="P12" i="2" s="1"/>
  <c r="K12" i="2" a="1"/>
  <c r="K12" i="2" s="1"/>
  <c r="F12" i="2" a="1"/>
  <c r="F12" i="2" s="1"/>
  <c r="P11" i="2" a="1"/>
  <c r="P11" i="2" s="1"/>
  <c r="K11" i="2" a="1"/>
  <c r="K11" i="2" s="1"/>
  <c r="F11" i="2" a="1"/>
  <c r="F11" i="2" s="1"/>
  <c r="P10" i="2" a="1"/>
  <c r="P10" i="2" s="1"/>
  <c r="K10" i="2" a="1"/>
  <c r="K10" i="2" s="1"/>
  <c r="F10" i="2" a="1"/>
  <c r="F10" i="2" s="1"/>
  <c r="P9" i="2" a="1"/>
  <c r="P9" i="2" s="1"/>
  <c r="K9" i="2" a="1"/>
  <c r="K9" i="2" s="1"/>
  <c r="F9" i="2" a="1"/>
  <c r="F9" i="2" s="1"/>
  <c r="P8" i="2" a="1"/>
  <c r="P8" i="2" s="1"/>
  <c r="K8" i="2" a="1"/>
  <c r="K8" i="2" s="1"/>
  <c r="F8" i="2" a="1"/>
  <c r="F8" i="2" s="1"/>
  <c r="P7" i="2" a="1"/>
  <c r="P7" i="2" s="1"/>
  <c r="K7" i="2" a="1"/>
  <c r="K7" i="2" s="1"/>
  <c r="F7" i="2" a="1"/>
  <c r="F7" i="2" s="1"/>
  <c r="P6" i="2" a="1"/>
  <c r="P6" i="2" s="1"/>
  <c r="K6" i="2" a="1"/>
  <c r="K6" i="2" s="1"/>
  <c r="F6" i="2" a="1"/>
  <c r="F6" i="2" s="1"/>
  <c r="P5" i="2" a="1"/>
  <c r="P5" i="2" s="1"/>
  <c r="K5" i="2" a="1"/>
  <c r="K5" i="2" s="1"/>
  <c r="F5" i="2" a="1"/>
  <c r="F5" i="2" s="1"/>
  <c r="P4" i="2" a="1"/>
  <c r="P4" i="2" s="1"/>
  <c r="K4" i="2" a="1"/>
  <c r="K4" i="2" s="1"/>
  <c r="F4" i="2" a="1"/>
  <c r="F4" i="2" s="1"/>
  <c r="O32" i="1" a="1"/>
  <c r="O32" i="1" s="1"/>
  <c r="N32" i="1" a="1"/>
  <c r="N32" i="1" s="1"/>
  <c r="M32" i="1" a="1"/>
  <c r="M32" i="1" s="1"/>
  <c r="P32" i="1" s="1" a="1"/>
  <c r="P32" i="1" s="1"/>
  <c r="L32" i="1" a="1"/>
  <c r="L32" i="1" s="1"/>
  <c r="J32" i="1" a="1"/>
  <c r="J32" i="1" s="1"/>
  <c r="I32" i="1" a="1"/>
  <c r="I32" i="1" s="1"/>
  <c r="H32" i="1" a="1"/>
  <c r="H32" i="1" s="1"/>
  <c r="K32" i="1" s="1" a="1"/>
  <c r="K32" i="1" s="1"/>
  <c r="G32" i="1" a="1"/>
  <c r="G32" i="1" s="1"/>
  <c r="E32" i="1" a="1"/>
  <c r="E32" i="1" s="1"/>
  <c r="D32" i="1" a="1"/>
  <c r="D32" i="1" s="1"/>
  <c r="C32" i="1" a="1"/>
  <c r="C32" i="1" s="1"/>
  <c r="F32" i="1" s="1" a="1"/>
  <c r="F32" i="1" s="1"/>
  <c r="Q32" i="1" s="1" a="1"/>
  <c r="Q32" i="1" s="1"/>
  <c r="R32" i="1" s="1" a="1"/>
  <c r="R32" i="1" s="1"/>
  <c r="B32" i="1" a="1"/>
  <c r="B32" i="1" s="1"/>
  <c r="P31" i="1" a="1"/>
  <c r="P31" i="1" s="1"/>
  <c r="K31" i="1" a="1"/>
  <c r="K31" i="1" s="1"/>
  <c r="F31" i="1" a="1"/>
  <c r="F31" i="1" s="1"/>
  <c r="P30" i="1" a="1"/>
  <c r="P30" i="1" s="1"/>
  <c r="K30" i="1" a="1"/>
  <c r="K30" i="1" s="1"/>
  <c r="F30" i="1" a="1"/>
  <c r="F30" i="1" s="1"/>
  <c r="P29" i="1" a="1"/>
  <c r="P29" i="1" s="1"/>
  <c r="K29" i="1" a="1"/>
  <c r="K29" i="1" s="1"/>
  <c r="F29" i="1" a="1"/>
  <c r="F29" i="1" s="1"/>
  <c r="P28" i="1" a="1"/>
  <c r="P28" i="1" s="1"/>
  <c r="K28" i="1" a="1"/>
  <c r="K28" i="1" s="1"/>
  <c r="F28" i="1" a="1"/>
  <c r="F28" i="1" s="1"/>
  <c r="P27" i="1" a="1"/>
  <c r="P27" i="1" s="1"/>
  <c r="K27" i="1" a="1"/>
  <c r="K27" i="1" s="1"/>
  <c r="F27" i="1" a="1"/>
  <c r="F27" i="1" s="1"/>
  <c r="P26" i="1" a="1"/>
  <c r="P26" i="1" s="1"/>
  <c r="K26" i="1" a="1"/>
  <c r="K26" i="1" s="1"/>
  <c r="F26" i="1" a="1"/>
  <c r="F26" i="1" s="1"/>
  <c r="P25" i="1" a="1"/>
  <c r="P25" i="1" s="1"/>
  <c r="K25" i="1" a="1"/>
  <c r="K25" i="1" s="1"/>
  <c r="F25" i="1" a="1"/>
  <c r="F25" i="1" s="1"/>
  <c r="P24" i="1" a="1"/>
  <c r="P24" i="1" s="1"/>
  <c r="K24" i="1" a="1"/>
  <c r="K24" i="1" s="1"/>
  <c r="F24" i="1" a="1"/>
  <c r="F24" i="1" s="1"/>
  <c r="P23" i="1" a="1"/>
  <c r="P23" i="1" s="1"/>
  <c r="K23" i="1" a="1"/>
  <c r="K23" i="1" s="1"/>
  <c r="F23" i="1" a="1"/>
  <c r="F23" i="1" s="1"/>
  <c r="P22" i="1" a="1"/>
  <c r="P22" i="1" s="1"/>
  <c r="K22" i="1" a="1"/>
  <c r="K22" i="1" s="1"/>
  <c r="F22" i="1" a="1"/>
  <c r="F22" i="1" s="1"/>
  <c r="P21" i="1" a="1"/>
  <c r="P21" i="1" s="1"/>
  <c r="K21" i="1" a="1"/>
  <c r="K21" i="1" s="1"/>
  <c r="F21" i="1" a="1"/>
  <c r="F21" i="1" s="1"/>
  <c r="P20" i="1" a="1"/>
  <c r="P20" i="1" s="1"/>
  <c r="K20" i="1" a="1"/>
  <c r="K20" i="1" s="1"/>
  <c r="F20" i="1" a="1"/>
  <c r="F20" i="1" s="1"/>
  <c r="P19" i="1" a="1"/>
  <c r="P19" i="1" s="1"/>
  <c r="K19" i="1" a="1"/>
  <c r="K19" i="1" s="1"/>
  <c r="F19" i="1" a="1"/>
  <c r="F19" i="1" s="1"/>
  <c r="P18" i="1" a="1"/>
  <c r="P18" i="1" s="1"/>
  <c r="K18" i="1" a="1"/>
  <c r="K18" i="1" s="1"/>
  <c r="F18" i="1" a="1"/>
  <c r="F18" i="1" s="1"/>
  <c r="P17" i="1" a="1"/>
  <c r="P17" i="1" s="1"/>
  <c r="K17" i="1" a="1"/>
  <c r="K17" i="1" s="1"/>
  <c r="F17" i="1" a="1"/>
  <c r="F17" i="1" s="1"/>
  <c r="P16" i="1" a="1"/>
  <c r="P16" i="1" s="1"/>
  <c r="K16" i="1" a="1"/>
  <c r="K16" i="1" s="1"/>
  <c r="F16" i="1" a="1"/>
  <c r="F16" i="1" s="1"/>
  <c r="P15" i="1" a="1"/>
  <c r="P15" i="1" s="1"/>
  <c r="K15" i="1" a="1"/>
  <c r="K15" i="1" s="1"/>
  <c r="F15" i="1" a="1"/>
  <c r="F15" i="1" s="1"/>
  <c r="P14" i="1" a="1"/>
  <c r="P14" i="1" s="1"/>
  <c r="K14" i="1" a="1"/>
  <c r="K14" i="1" s="1"/>
  <c r="F14" i="1" a="1"/>
  <c r="F14" i="1" s="1"/>
  <c r="P13" i="1" a="1"/>
  <c r="P13" i="1" s="1"/>
  <c r="K13" i="1" a="1"/>
  <c r="K13" i="1" s="1"/>
  <c r="F13" i="1" a="1"/>
  <c r="F13" i="1" s="1"/>
  <c r="P12" i="1" a="1"/>
  <c r="P12" i="1" s="1"/>
  <c r="K12" i="1" a="1"/>
  <c r="K12" i="1" s="1"/>
  <c r="F12" i="1" a="1"/>
  <c r="F12" i="1" s="1"/>
  <c r="P11" i="1" a="1"/>
  <c r="P11" i="1" s="1"/>
  <c r="K11" i="1" a="1"/>
  <c r="K11" i="1" s="1"/>
  <c r="F11" i="1" a="1"/>
  <c r="F11" i="1" s="1"/>
  <c r="P10" i="1" a="1"/>
  <c r="P10" i="1" s="1"/>
  <c r="K10" i="1" a="1"/>
  <c r="K10" i="1" s="1"/>
  <c r="F10" i="1" a="1"/>
  <c r="F10" i="1" s="1"/>
  <c r="P9" i="1" a="1"/>
  <c r="P9" i="1" s="1"/>
  <c r="K9" i="1" a="1"/>
  <c r="K9" i="1" s="1"/>
  <c r="F9" i="1" a="1"/>
  <c r="F9" i="1" s="1"/>
  <c r="P8" i="1" a="1"/>
  <c r="P8" i="1" s="1"/>
  <c r="K8" i="1" a="1"/>
  <c r="K8" i="1" s="1"/>
  <c r="F8" i="1" a="1"/>
  <c r="F8" i="1" s="1"/>
  <c r="P7" i="1" a="1"/>
  <c r="P7" i="1" s="1"/>
  <c r="K7" i="1" a="1"/>
  <c r="K7" i="1" s="1"/>
  <c r="F7" i="1" a="1"/>
  <c r="F7" i="1" s="1"/>
  <c r="P6" i="1" a="1"/>
  <c r="P6" i="1" s="1"/>
  <c r="K6" i="1" a="1"/>
  <c r="K6" i="1" s="1"/>
  <c r="F6" i="1" a="1"/>
  <c r="F6" i="1" s="1"/>
  <c r="P5" i="1" a="1"/>
  <c r="P5" i="1" s="1"/>
  <c r="K5" i="1" a="1"/>
  <c r="K5" i="1"/>
  <c r="F5" i="1" a="1"/>
  <c r="F5" i="1"/>
  <c r="P4" i="1" a="1"/>
  <c r="P4" i="1"/>
  <c r="K4" i="1" a="1"/>
  <c r="K4" i="1"/>
  <c r="F4" i="1" a="1"/>
  <c r="F4" i="1" s="1"/>
  <c r="K35" i="11" l="1" a="1"/>
  <c r="K35" i="11" s="1"/>
  <c r="F35" i="11" a="1"/>
  <c r="F35" i="11" s="1"/>
  <c r="V35" i="11" s="1" a="1"/>
  <c r="V35" i="11" s="1"/>
  <c r="K35" i="9" a="1"/>
  <c r="K35" i="9" s="1"/>
  <c r="F35" i="9" a="1"/>
  <c r="F35" i="9" s="1"/>
  <c r="V35" i="9" s="1" a="1"/>
  <c r="V35" i="9" s="1"/>
  <c r="U35" i="9" a="1"/>
  <c r="U35" i="9" s="1"/>
  <c r="F34" i="8" a="1"/>
  <c r="F34" i="8" s="1"/>
  <c r="V34" i="8" s="1" a="1"/>
  <c r="V34" i="8" s="1"/>
  <c r="W34" i="8" s="1" a="1"/>
  <c r="W34" i="8" s="1"/>
  <c r="K34" i="8" a="1"/>
  <c r="K34" i="8" s="1"/>
  <c r="P34" i="8" a="1"/>
  <c r="P34" i="8" s="1"/>
  <c r="F34" i="7" a="1"/>
  <c r="F34" i="7" s="1"/>
  <c r="V34" i="7" s="1" a="1"/>
  <c r="V34" i="7" s="1"/>
  <c r="U34" i="7" a="1"/>
  <c r="U34" i="7" s="1"/>
  <c r="P34" i="7" a="1"/>
  <c r="P34" i="7" s="1"/>
  <c r="U35" i="6" a="1"/>
  <c r="U35" i="6" s="1"/>
  <c r="P35" i="6" a="1"/>
  <c r="P35" i="6" s="1"/>
  <c r="V35" i="6" s="1" a="1"/>
  <c r="V35" i="6" s="1"/>
  <c r="U34" i="5" a="1"/>
  <c r="U34" i="5" s="1"/>
  <c r="K34" i="5" a="1"/>
  <c r="K34" i="5" s="1"/>
  <c r="P34" i="5" a="1"/>
  <c r="P34" i="5" s="1"/>
  <c r="F34" i="5" a="1"/>
  <c r="F34" i="5" s="1"/>
  <c r="K35" i="4" a="1"/>
  <c r="K35" i="4" s="1"/>
  <c r="U35" i="4" a="1"/>
  <c r="U35" i="4" s="1"/>
  <c r="F35" i="4" a="1"/>
  <c r="F35" i="4" s="1"/>
  <c r="V35" i="4" s="1" a="1"/>
  <c r="V35" i="4" s="1"/>
  <c r="K34" i="3" a="1"/>
  <c r="K34" i="3" s="1"/>
  <c r="U34" i="3" a="1"/>
  <c r="U34" i="3" s="1"/>
  <c r="P35" i="2" a="1"/>
  <c r="P35" i="2" s="1"/>
  <c r="U35" i="2" a="1"/>
  <c r="U35" i="2" s="1"/>
  <c r="K35" i="2" a="1"/>
  <c r="K35" i="2" s="1"/>
  <c r="F35" i="2" a="1"/>
  <c r="F35" i="2" s="1"/>
  <c r="V35" i="2" s="1" a="1"/>
  <c r="V35" i="2" s="1"/>
  <c r="P34" i="3" a="1"/>
  <c r="P34" i="3" s="1"/>
  <c r="F34" i="3" a="1"/>
  <c r="F34" i="3" s="1"/>
  <c r="V34" i="3" s="1" a="1"/>
  <c r="V34" i="3" s="1"/>
  <c r="V34" i="5" a="1"/>
  <c r="V34" i="5" s="1"/>
  <c r="W34" i="5" s="1" a="1"/>
  <c r="W3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Владимир Галкин</author>
  </authors>
  <commentList>
    <comment ref="B14" authorId="0" shapeId="0" xr:uid="{00000000-0006-0000-0000-000001000000}">
      <text>
        <r>
          <rPr>
            <sz val="11"/>
            <color indexed="8"/>
            <rFont val="Helvetica Neue"/>
          </rPr>
          <t xml:space="preserve">Владимир Галкин:
Покупка автомобиля </t>
        </r>
      </text>
    </comment>
    <comment ref="G14" authorId="0" shapeId="0" xr:uid="{00000000-0006-0000-0000-000002000000}">
      <text>
        <r>
          <rPr>
            <sz val="11"/>
            <color indexed="8"/>
            <rFont val="Helvetica Neue"/>
          </rPr>
          <t xml:space="preserve">Владимир Галкин:
Покупка автомобиля </t>
        </r>
      </text>
    </comment>
    <comment ref="L14" authorId="0" shapeId="0" xr:uid="{00000000-0006-0000-0000-000003000000}">
      <text>
        <r>
          <rPr>
            <sz val="11"/>
            <color indexed="8"/>
            <rFont val="Helvetica Neue"/>
          </rPr>
          <t xml:space="preserve">Владимир Галкин:
Покупка автомобиля </t>
        </r>
      </text>
    </comment>
    <comment ref="B15" authorId="0" shapeId="0" xr:uid="{00000000-0006-0000-0000-000004000000}">
      <text>
        <r>
          <rPr>
            <sz val="11"/>
            <color indexed="8"/>
            <rFont val="Helvetica Neue"/>
          </rPr>
          <t>Владимир Галкин:
Автовоз</t>
        </r>
      </text>
    </comment>
    <comment ref="G15" authorId="0" shapeId="0" xr:uid="{00000000-0006-0000-0000-000005000000}">
      <text>
        <r>
          <rPr>
            <sz val="11"/>
            <color indexed="8"/>
            <rFont val="Helvetica Neue"/>
          </rPr>
          <t>Владимир Галкин:
Автовоз</t>
        </r>
      </text>
    </comment>
    <comment ref="L15" authorId="0" shapeId="0" xr:uid="{00000000-0006-0000-0000-000006000000}">
      <text>
        <r>
          <rPr>
            <sz val="11"/>
            <color indexed="8"/>
            <rFont val="Helvetica Neue"/>
          </rPr>
          <t>Владимир Галкин:
Автовоз</t>
        </r>
      </text>
    </comment>
    <comment ref="B16" authorId="0" shapeId="0" xr:uid="{00000000-0006-0000-0000-000007000000}">
      <text>
        <r>
          <rPr>
            <sz val="11"/>
            <color indexed="8"/>
            <rFont val="Helvetica Neue"/>
          </rPr>
          <t xml:space="preserve">Владимир Галкин:
Замена масла, колодки, пробег 204734 </t>
        </r>
      </text>
    </comment>
    <comment ref="G16" authorId="0" shapeId="0" xr:uid="{00000000-0006-0000-0000-000008000000}">
      <text>
        <r>
          <rPr>
            <sz val="11"/>
            <color indexed="8"/>
            <rFont val="Helvetica Neue"/>
          </rPr>
          <t xml:space="preserve">Владимир Галкин:
Замена масла, колодки, пробег 204734 </t>
        </r>
      </text>
    </comment>
    <comment ref="L16" authorId="0" shapeId="0" xr:uid="{00000000-0006-0000-0000-000009000000}">
      <text>
        <r>
          <rPr>
            <sz val="11"/>
            <color indexed="8"/>
            <rFont val="Helvetica Neue"/>
          </rPr>
          <t xml:space="preserve">Владимир Галкин:
Замена масла, колодки, пробег 204734 </t>
        </r>
      </text>
    </comment>
    <comment ref="B17" authorId="0" shapeId="0" xr:uid="{00000000-0006-0000-0000-00000A000000}">
      <text>
        <r>
          <rPr>
            <sz val="11"/>
            <color indexed="8"/>
            <rFont val="Helvetica Neue"/>
          </rPr>
          <t>Владимир Галкин:
Маяк +установка</t>
        </r>
      </text>
    </comment>
    <comment ref="G17" authorId="0" shapeId="0" xr:uid="{00000000-0006-0000-0000-00000B000000}">
      <text>
        <r>
          <rPr>
            <sz val="11"/>
            <color indexed="8"/>
            <rFont val="Helvetica Neue"/>
          </rPr>
          <t>Владимир Галкин:
Маяк +установка</t>
        </r>
      </text>
    </comment>
    <comment ref="L17" authorId="0" shapeId="0" xr:uid="{00000000-0006-0000-0000-00000C000000}">
      <text>
        <r>
          <rPr>
            <sz val="11"/>
            <color indexed="8"/>
            <rFont val="Helvetica Neue"/>
          </rPr>
          <t>Владимир Галкин:
Маяк +установка</t>
        </r>
      </text>
    </comment>
    <comment ref="B18" authorId="0" shapeId="0" xr:uid="{00000000-0006-0000-0000-00000D000000}">
      <text>
        <r>
          <rPr>
            <sz val="11"/>
            <color indexed="8"/>
            <rFont val="Helvetica Neue"/>
          </rPr>
          <t xml:space="preserve">Владимир Галкин:
Химчистка </t>
        </r>
      </text>
    </comment>
    <comment ref="G18" authorId="0" shapeId="0" xr:uid="{00000000-0006-0000-0000-00000E000000}">
      <text>
        <r>
          <rPr>
            <sz val="11"/>
            <color indexed="8"/>
            <rFont val="Helvetica Neue"/>
          </rPr>
          <t>Владимир Галкин:
Страховка автомобиля</t>
        </r>
      </text>
    </comment>
    <comment ref="L18" authorId="0" shapeId="0" xr:uid="{00000000-0006-0000-0000-00000F000000}">
      <text>
        <r>
          <rPr>
            <sz val="11"/>
            <color indexed="8"/>
            <rFont val="Helvetica Neue"/>
          </rPr>
          <t xml:space="preserve">Владимир Галкин:
Химчистка </t>
        </r>
      </text>
    </comment>
    <comment ref="B19" authorId="0" shapeId="0" xr:uid="{00000000-0006-0000-0000-000010000000}">
      <text>
        <r>
          <rPr>
            <sz val="11"/>
            <color indexed="8"/>
            <rFont val="Helvetica Neue"/>
          </rPr>
          <t xml:space="preserve">Владимир Галкин:
Тех осмотр </t>
        </r>
      </text>
    </comment>
    <comment ref="L19" authorId="0" shapeId="0" xr:uid="{00000000-0006-0000-0000-000011000000}">
      <text>
        <r>
          <rPr>
            <sz val="11"/>
            <color indexed="8"/>
            <rFont val="Helvetica Neue"/>
          </rPr>
          <t xml:space="preserve">Владимир Галкин:
Тех осмотр </t>
        </r>
      </text>
    </comment>
    <comment ref="B20" authorId="0" shapeId="0" xr:uid="{00000000-0006-0000-0000-000012000000}">
      <text>
        <r>
          <rPr>
            <sz val="11"/>
            <color indexed="8"/>
            <rFont val="Helvetica Neue"/>
          </rPr>
          <t xml:space="preserve">Владимир Галкин:
Сим-карта </t>
        </r>
      </text>
    </comment>
    <comment ref="G20" authorId="0" shapeId="0" xr:uid="{00000000-0006-0000-0000-000013000000}">
      <text>
        <r>
          <rPr>
            <sz val="11"/>
            <color indexed="8"/>
            <rFont val="Helvetica Neue"/>
          </rPr>
          <t xml:space="preserve">Владимир Галкин:
Сим-карта </t>
        </r>
      </text>
    </comment>
    <comment ref="L20" authorId="0" shapeId="0" xr:uid="{00000000-0006-0000-0000-000014000000}">
      <text>
        <r>
          <rPr>
            <sz val="11"/>
            <color indexed="8"/>
            <rFont val="Helvetica Neue"/>
          </rPr>
          <t xml:space="preserve">Владимир Галкин:
Сим-карта </t>
        </r>
      </text>
    </comment>
    <comment ref="B21" authorId="0" shapeId="0" xr:uid="{00000000-0006-0000-0000-000015000000}">
      <text>
        <r>
          <rPr>
            <sz val="11"/>
            <color indexed="8"/>
            <rFont val="Helvetica Neue"/>
          </rPr>
          <t xml:space="preserve">Владимир Галкин:
Переоформление </t>
        </r>
      </text>
    </comment>
    <comment ref="G21" authorId="0" shapeId="0" xr:uid="{00000000-0006-0000-0000-000016000000}">
      <text>
        <r>
          <rPr>
            <sz val="11"/>
            <color indexed="8"/>
            <rFont val="Helvetica Neue"/>
          </rPr>
          <t>Владимир Галкин:
Доставка авто до автовоза</t>
        </r>
      </text>
    </comment>
    <comment ref="L21" authorId="0" shapeId="0" xr:uid="{00000000-0006-0000-0000-000017000000}">
      <text>
        <r>
          <rPr>
            <sz val="11"/>
            <color indexed="8"/>
            <rFont val="Helvetica Neue"/>
          </rPr>
          <t xml:space="preserve">Владимир Галкин:
Переоформление </t>
        </r>
      </text>
    </comment>
    <comment ref="B22" authorId="0" shapeId="0" xr:uid="{00000000-0006-0000-0000-000018000000}">
      <text>
        <r>
          <rPr>
            <sz val="11"/>
            <color indexed="8"/>
            <rFont val="Helvetica Neue"/>
          </rPr>
          <t>Владимир Галкин:
Страховка</t>
        </r>
      </text>
    </comment>
    <comment ref="L22" authorId="0" shapeId="0" xr:uid="{00000000-0006-0000-0000-000019000000}">
      <text>
        <r>
          <rPr>
            <sz val="11"/>
            <color indexed="8"/>
            <rFont val="Helvetica Neue"/>
          </rPr>
          <t>Владимир Галкин:
Страховка</t>
        </r>
      </text>
    </comment>
    <comment ref="B23" authorId="0" shapeId="0" xr:uid="{00000000-0006-0000-0000-00001A000000}">
      <text>
        <r>
          <rPr>
            <sz val="11"/>
            <color indexed="8"/>
            <rFont val="Helvetica Neue"/>
          </rPr>
          <t>Владимир Галкин:
Доставка автомобиля к автовозу</t>
        </r>
      </text>
    </comment>
    <comment ref="L23" authorId="0" shapeId="0" xr:uid="{00000000-0006-0000-0000-00001B000000}">
      <text>
        <r>
          <rPr>
            <sz val="11"/>
            <color indexed="8"/>
            <rFont val="Helvetica Neue"/>
          </rPr>
          <t>Владимир Галкин:
Доставка автомобиля к автовозу</t>
        </r>
      </text>
    </comment>
    <comment ref="G31" authorId="0" shapeId="0" xr:uid="{00000000-0006-0000-0000-00001C000000}">
      <text>
        <r>
          <rPr>
            <sz val="11"/>
            <color indexed="8"/>
            <rFont val="Helvetica Neue"/>
          </rPr>
          <t xml:space="preserve">Владимир Галкин:
Переоформил + техосмотр </t>
        </r>
      </text>
    </comment>
    <comment ref="I31" authorId="0" shapeId="0" xr:uid="{00000000-0006-0000-0000-00001D000000}">
      <text>
        <r>
          <rPr>
            <sz val="11"/>
            <color indexed="8"/>
            <rFont val="Helvetica Neue"/>
          </rPr>
          <t xml:space="preserve">Владимир Галкин:
Ремонт ручки </t>
        </r>
      </text>
    </comment>
    <comment ref="J31" authorId="0" shapeId="0" xr:uid="{00000000-0006-0000-0000-00001E000000}">
      <text>
        <r>
          <rPr>
            <sz val="11"/>
            <color indexed="8"/>
            <rFont val="Helvetica Neue"/>
          </rPr>
          <t>Владимир Галкин:
Авито</t>
        </r>
      </text>
    </comment>
    <comment ref="Q31" authorId="0" shapeId="0" xr:uid="{00000000-0006-0000-0000-00001F000000}">
      <text>
        <r>
          <rPr>
            <sz val="11"/>
            <color indexed="8"/>
            <rFont val="Helvetica Neue"/>
          </rPr>
          <t>Владимир Галкин:
Леха 20%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<sst xmlns="http://schemas.openxmlformats.org/spreadsheetml/2006/main" count="345" uniqueCount="15">
  <si>
    <t xml:space="preserve">Дата </t>
  </si>
  <si>
    <t>Toyota Corolla</t>
  </si>
  <si>
    <t>Kia Optima</t>
  </si>
  <si>
    <t>Honda Civic</t>
  </si>
  <si>
    <t>Зар.палата забрали</t>
  </si>
  <si>
    <t>Ксса за все время</t>
  </si>
  <si>
    <t>Покупка и подготовка к аренде</t>
  </si>
  <si>
    <t>Аренда</t>
  </si>
  <si>
    <t>Расходы</t>
  </si>
  <si>
    <t>Прибыль</t>
  </si>
  <si>
    <t>ТО</t>
  </si>
  <si>
    <t>Прочее</t>
  </si>
  <si>
    <t>Итого:</t>
  </si>
  <si>
    <t>Покапка и подготовка к аренде</t>
  </si>
  <si>
    <t xml:space="preserve">hongqi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</si>
</sst>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d&quot;, &quot;yyyy"/>
  </numFmts>
  <fonts count="7">
    <font>
      <sz val="11"/>
      <color indexed="8"/>
      <name val="Calibri"/>
    </font>
    <font>
      <sz val="18"/>
      <color indexed="9"/>
      <name val="Calibri"/>
    </font>
    <font>
      <sz val="11"/>
      <color indexed="8"/>
      <name val="Helvetica Neue"/>
    </font>
    <font>
      <b/>
      <sz val="11"/>
      <color indexed="12"/>
      <name val="Calibri"/>
    </font>
    <font>
      <sz val="11"/>
      <color indexed="15"/>
      <name val="Helvetica Neue"/>
    </font>
    <font>
      <sz val="11"/>
      <color indexed="9"/>
      <name val="Calibri"/>
    </font>
    <font>
      <sz val="11"/>
      <color indexed="19"/>
      <name val="Helvetica Neue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0"/>
        <bgColor auto="1"/>
      </patternFill>
    </fill>
  </fills>
  <borders count="19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1"/>
      </left>
      <right/>
      <top style="medium">
        <color indexed="8"/>
      </top>
      <bottom style="thin">
        <color indexed="21"/>
      </bottom>
      <diagonal/>
    </border>
    <border>
      <left/>
      <right/>
      <top style="medium">
        <color indexed="8"/>
      </top>
      <bottom style="thin">
        <color indexed="21"/>
      </bottom>
      <diagonal/>
    </border>
    <border>
      <left/>
      <right/>
      <top style="thin">
        <color indexed="8"/>
      </top>
      <bottom style="thin">
        <color indexed="21"/>
      </bottom>
      <diagonal/>
    </border>
    <border>
      <left/>
      <right style="thin">
        <color indexed="21"/>
      </right>
      <top style="thin">
        <color indexed="8"/>
      </top>
      <bottom style="thin">
        <color indexed="21"/>
      </bottom>
      <diagonal/>
    </border>
  </borders>
  <cellStyleXfs count="1">
    <xf numFmtId="0" fontId="0" fillId="0" borderId="0" applyNumberFormat="0" applyFill="0" applyBorder="0" applyProtection="0"/>
  </cellStyleXfs>
  <cellXfs count="73">
    <xf numFmtId="0" fontId="0" fillId="0" borderId="0" xfId="0" applyFont="1" applyAlignment="1"/>
    <xf numFmtId="0" fontId="0" fillId="0" borderId="0" xfId="0" applyNumberFormat="1" applyFont="1" applyAlignment="1"/>
    <xf numFmtId="49" fontId="2" fillId="3" borderId="1" xfId="0" applyNumberFormat="1" applyFont="1" applyFill="1" applyBorder="1" applyAlignment="1">
      <alignment horizontal="center"/>
    </xf>
    <xf numFmtId="49" fontId="2" fillId="8" borderId="1" xfId="0" applyNumberFormat="1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/>
    <xf numFmtId="2" fontId="2" fillId="7" borderId="1" xfId="0" applyNumberFormat="1" applyFont="1" applyFill="1" applyBorder="1" applyAlignment="1"/>
    <xf numFmtId="2" fontId="2" fillId="8" borderId="1" xfId="0" applyNumberFormat="1" applyFont="1" applyFill="1" applyBorder="1" applyAlignment="1"/>
    <xf numFmtId="2" fontId="2" fillId="5" borderId="1" xfId="0" applyNumberFormat="1" applyFont="1" applyFill="1" applyBorder="1" applyAlignment="1"/>
    <xf numFmtId="2" fontId="2" fillId="7" borderId="13" xfId="0" applyNumberFormat="1" applyFont="1" applyFill="1" applyBorder="1" applyAlignment="1"/>
    <xf numFmtId="2" fontId="4" fillId="6" borderId="14" xfId="0" applyNumberFormat="1" applyFont="1" applyFill="1" applyBorder="1" applyAlignment="1"/>
    <xf numFmtId="49" fontId="6" fillId="6" borderId="1" xfId="0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/>
    <xf numFmtId="2" fontId="6" fillId="7" borderId="1" xfId="0" applyNumberFormat="1" applyFont="1" applyFill="1" applyBorder="1" applyAlignment="1"/>
    <xf numFmtId="2" fontId="6" fillId="8" borderId="1" xfId="0" applyNumberFormat="1" applyFont="1" applyFill="1" applyBorder="1" applyAlignment="1"/>
    <xf numFmtId="2" fontId="6" fillId="5" borderId="1" xfId="0" applyNumberFormat="1" applyFont="1" applyFill="1" applyBorder="1" applyAlignment="1"/>
    <xf numFmtId="2" fontId="6" fillId="7" borderId="13" xfId="0" applyNumberFormat="1" applyFont="1" applyFill="1" applyBorder="1" applyAlignment="1"/>
    <xf numFmtId="0" fontId="0" fillId="9" borderId="15" xfId="0" applyFont="1" applyFill="1" applyBorder="1" applyAlignment="1"/>
    <xf numFmtId="0" fontId="0" fillId="9" borderId="16" xfId="0" applyFont="1" applyFill="1" applyBorder="1" applyAlignment="1"/>
    <xf numFmtId="0" fontId="0" fillId="9" borderId="17" xfId="0" applyFont="1" applyFill="1" applyBorder="1" applyAlignment="1"/>
    <xf numFmtId="0" fontId="0" fillId="9" borderId="18" xfId="0" applyFont="1" applyFill="1" applyBorder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2" fontId="4" fillId="6" borderId="1" xfId="0" applyNumberFormat="1" applyFont="1" applyFill="1" applyBorder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0" fontId="0" fillId="0" borderId="0" xfId="0" applyNumberFormat="1" applyFont="1" applyAlignment="1"/>
    <xf numFmtId="49" fontId="2" fillId="7" borderId="7" xfId="0" applyNumberFormat="1" applyFont="1" applyFill="1" applyBorder="1" applyAlignment="1">
      <alignment horizontal="center" vertical="center"/>
    </xf>
    <xf numFmtId="49" fontId="2" fillId="7" borderId="10" xfId="0" applyNumberFormat="1" applyFont="1" applyFill="1" applyBorder="1" applyAlignment="1">
      <alignment horizontal="center" vertical="center"/>
    </xf>
    <xf numFmtId="49" fontId="2" fillId="5" borderId="7" xfId="0" applyNumberFormat="1" applyFont="1" applyFill="1" applyBorder="1" applyAlignment="1">
      <alignment horizontal="center" wrapText="1"/>
    </xf>
    <xf numFmtId="49" fontId="2" fillId="5" borderId="10" xfId="0" applyNumberFormat="1" applyFont="1" applyFill="1" applyBorder="1" applyAlignment="1">
      <alignment horizontal="center" wrapText="1"/>
    </xf>
    <xf numFmtId="49" fontId="2" fillId="5" borderId="7" xfId="0" applyNumberFormat="1" applyFont="1" applyFill="1" applyBorder="1" applyAlignment="1">
      <alignment horizontal="center" vertical="center" wrapText="1"/>
    </xf>
    <xf numFmtId="49" fontId="2" fillId="5" borderId="10" xfId="0" applyNumberFormat="1" applyFont="1" applyFill="1" applyBorder="1" applyAlignment="1">
      <alignment horizontal="center" vertical="center" wrapText="1"/>
    </xf>
    <xf numFmtId="49" fontId="2" fillId="5" borderId="2" xfId="0" applyNumberFormat="1" applyFont="1" applyFill="1" applyBorder="1" applyAlignment="1">
      <alignment horizontal="center"/>
    </xf>
    <xf numFmtId="49" fontId="2" fillId="5" borderId="4" xfId="0" applyNumberFormat="1" applyFont="1" applyFill="1" applyBorder="1" applyAlignment="1">
      <alignment horizontal="center"/>
    </xf>
    <xf numFmtId="49" fontId="4" fillId="6" borderId="6" xfId="0" applyNumberFormat="1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6" borderId="12" xfId="0" applyFont="1" applyFill="1" applyBorder="1" applyAlignment="1">
      <alignment horizontal="center" vertical="center" wrapText="1"/>
    </xf>
    <xf numFmtId="49" fontId="4" fillId="6" borderId="5" xfId="0" applyNumberFormat="1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3" borderId="7" xfId="0" applyNumberFormat="1" applyFont="1" applyFill="1" applyBorder="1" applyAlignment="1">
      <alignment horizontal="center" wrapText="1"/>
    </xf>
    <xf numFmtId="49" fontId="2" fillId="3" borderId="10" xfId="0" applyNumberFormat="1" applyFont="1" applyFill="1" applyBorder="1" applyAlignment="1">
      <alignment horizontal="center" wrapText="1"/>
    </xf>
    <xf numFmtId="49" fontId="2" fillId="3" borderId="2" xfId="0" applyNumberFormat="1" applyFont="1" applyFill="1" applyBorder="1" applyAlignment="1">
      <alignment horizontal="center"/>
    </xf>
    <xf numFmtId="49" fontId="2" fillId="3" borderId="3" xfId="0" applyNumberFormat="1" applyFont="1" applyFill="1" applyBorder="1" applyAlignment="1">
      <alignment horizontal="center"/>
    </xf>
    <xf numFmtId="49" fontId="2" fillId="3" borderId="4" xfId="0" applyNumberFormat="1" applyFont="1" applyFill="1" applyBorder="1" applyAlignment="1">
      <alignment horizontal="center"/>
    </xf>
    <xf numFmtId="49" fontId="2" fillId="3" borderId="7" xfId="0" applyNumberFormat="1" applyFont="1" applyFill="1" applyBorder="1" applyAlignment="1">
      <alignment horizontal="center" vertical="center" wrapText="1"/>
    </xf>
    <xf numFmtId="49" fontId="2" fillId="3" borderId="10" xfId="0" applyNumberFormat="1" applyFont="1" applyFill="1" applyBorder="1" applyAlignment="1">
      <alignment horizontal="center" vertical="center" wrapText="1"/>
    </xf>
    <xf numFmtId="49" fontId="2" fillId="8" borderId="7" xfId="0" applyNumberFormat="1" applyFont="1" applyFill="1" applyBorder="1" applyAlignment="1">
      <alignment horizontal="center" wrapText="1"/>
    </xf>
    <xf numFmtId="49" fontId="2" fillId="8" borderId="10" xfId="0" applyNumberFormat="1" applyFont="1" applyFill="1" applyBorder="1" applyAlignment="1">
      <alignment horizontal="center" wrapText="1"/>
    </xf>
    <xf numFmtId="49" fontId="2" fillId="8" borderId="7" xfId="0" applyNumberFormat="1" applyFont="1" applyFill="1" applyBorder="1" applyAlignment="1">
      <alignment horizontal="center" vertical="center" wrapText="1"/>
    </xf>
    <xf numFmtId="49" fontId="2" fillId="8" borderId="10" xfId="0" applyNumberFormat="1" applyFont="1" applyFill="1" applyBorder="1" applyAlignment="1">
      <alignment horizontal="center" vertical="center" wrapText="1"/>
    </xf>
    <xf numFmtId="49" fontId="2" fillId="8" borderId="2" xfId="0" applyNumberFormat="1" applyFont="1" applyFill="1" applyBorder="1" applyAlignment="1">
      <alignment horizontal="center"/>
    </xf>
    <xf numFmtId="49" fontId="2" fillId="8" borderId="4" xfId="0" applyNumberFormat="1" applyFont="1" applyFill="1" applyBorder="1" applyAlignment="1">
      <alignment horizontal="center"/>
    </xf>
    <xf numFmtId="49" fontId="3" fillId="4" borderId="2" xfId="0" applyNumberFormat="1" applyFont="1" applyFill="1" applyBorder="1" applyAlignment="1">
      <alignment horizontal="center"/>
    </xf>
    <xf numFmtId="49" fontId="3" fillId="4" borderId="3" xfId="0" applyNumberFormat="1" applyFont="1" applyFill="1" applyBorder="1" applyAlignment="1">
      <alignment horizontal="center"/>
    </xf>
    <xf numFmtId="49" fontId="3" fillId="4" borderId="4" xfId="0" applyNumberFormat="1" applyFont="1" applyFill="1" applyBorder="1" applyAlignment="1">
      <alignment horizontal="center"/>
    </xf>
    <xf numFmtId="49" fontId="2" fillId="5" borderId="3" xfId="0" applyNumberFormat="1" applyFont="1" applyFill="1" applyBorder="1" applyAlignment="1">
      <alignment horizontal="center"/>
    </xf>
    <xf numFmtId="49" fontId="2" fillId="8" borderId="3" xfId="0" applyNumberFormat="1" applyFont="1" applyFill="1" applyBorder="1" applyAlignment="1">
      <alignment horizontal="center"/>
    </xf>
    <xf numFmtId="49" fontId="4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49" fontId="4" fillId="6" borderId="9" xfId="0" applyNumberFormat="1" applyFont="1" applyFill="1" applyBorder="1" applyAlignment="1">
      <alignment horizontal="center" vertical="center" wrapText="1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8" xfId="0" applyNumberFormat="1" applyFont="1" applyFill="1" applyBorder="1" applyAlignment="1">
      <alignment horizontal="center" vertical="center" wrapText="1"/>
    </xf>
    <xf numFmtId="49" fontId="4" fillId="6" borderId="1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6100"/>
      <rgbColor rgb="FFC6EFCE"/>
      <rgbColor rgb="FFDEEAF6"/>
      <rgbColor rgb="FF3F3F3F"/>
      <rgbColor rgb="FFF2F2F2"/>
      <rgbColor rgb="FFECECEC"/>
      <rgbColor rgb="FF9C0006"/>
      <rgbColor rgb="FFFFC7CE"/>
      <rgbColor rgb="FFA9CD90"/>
      <rgbColor rgb="FFFBE4D5"/>
      <rgbColor rgb="FFFF0000"/>
      <rgbColor rgb="FFFFFFFF"/>
      <rgbColor rgb="FFAAAAAA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showGridLines="0" workbookViewId="0">
      <selection sqref="A1:A3"/>
    </sheetView>
  </sheetViews>
  <sheetFormatPr defaultColWidth="8.88671875" defaultRowHeight="14.4" customHeight="1"/>
  <cols>
    <col min="1" max="1" width="34" style="1" customWidth="1"/>
    <col min="2" max="3" width="20.6640625" style="1" customWidth="1"/>
    <col min="4" max="4" width="20.21875" style="1" customWidth="1"/>
    <col min="5" max="5" width="25.88671875" style="1" customWidth="1"/>
    <col min="6" max="6" width="20.21875" style="1" customWidth="1"/>
    <col min="7" max="7" width="20.44140625" style="1" customWidth="1"/>
    <col min="8" max="8" width="18.6640625" style="1" customWidth="1"/>
    <col min="9" max="10" width="12.44140625" style="1" customWidth="1"/>
    <col min="11" max="11" width="15.21875" style="1" customWidth="1"/>
    <col min="12" max="12" width="13.21875" style="1" customWidth="1"/>
    <col min="13" max="13" width="11.6640625" style="1" customWidth="1"/>
    <col min="14" max="16" width="17.88671875" style="1" customWidth="1"/>
    <col min="17" max="17" width="15.88671875" style="1" customWidth="1"/>
    <col min="18" max="18" width="14.88671875" style="1" customWidth="1"/>
    <col min="19" max="19" width="8.88671875" style="1" customWidth="1"/>
    <col min="20" max="16384" width="8.88671875" style="1"/>
  </cols>
  <sheetData>
    <row r="1" spans="1:18" ht="15" customHeight="1">
      <c r="A1" s="47" t="s">
        <v>0</v>
      </c>
      <c r="B1" s="51" t="s">
        <v>1</v>
      </c>
      <c r="C1" s="52"/>
      <c r="D1" s="52"/>
      <c r="E1" s="52"/>
      <c r="F1" s="53"/>
      <c r="G1" s="62" t="s">
        <v>2</v>
      </c>
      <c r="H1" s="63"/>
      <c r="I1" s="63"/>
      <c r="J1" s="63"/>
      <c r="K1" s="64"/>
      <c r="L1" s="39" t="s">
        <v>3</v>
      </c>
      <c r="M1" s="65"/>
      <c r="N1" s="65"/>
      <c r="O1" s="65"/>
      <c r="P1" s="40"/>
      <c r="Q1" s="44" t="s">
        <v>4</v>
      </c>
      <c r="R1" s="41" t="s">
        <v>5</v>
      </c>
    </row>
    <row r="2" spans="1:18" ht="15" customHeight="1">
      <c r="A2" s="48"/>
      <c r="B2" s="49" t="s">
        <v>6</v>
      </c>
      <c r="C2" s="54" t="s">
        <v>7</v>
      </c>
      <c r="D2" s="51" t="s">
        <v>8</v>
      </c>
      <c r="E2" s="53"/>
      <c r="F2" s="33" t="s">
        <v>9</v>
      </c>
      <c r="G2" s="56" t="s">
        <v>6</v>
      </c>
      <c r="H2" s="58" t="s">
        <v>7</v>
      </c>
      <c r="I2" s="60" t="s">
        <v>8</v>
      </c>
      <c r="J2" s="61"/>
      <c r="K2" s="33" t="s">
        <v>9</v>
      </c>
      <c r="L2" s="35" t="s">
        <v>6</v>
      </c>
      <c r="M2" s="37" t="s">
        <v>7</v>
      </c>
      <c r="N2" s="39" t="s">
        <v>8</v>
      </c>
      <c r="O2" s="40"/>
      <c r="P2" s="33" t="s">
        <v>9</v>
      </c>
      <c r="Q2" s="45"/>
      <c r="R2" s="42"/>
    </row>
    <row r="3" spans="1:18" ht="38.4" customHeight="1">
      <c r="A3" s="48"/>
      <c r="B3" s="50"/>
      <c r="C3" s="55"/>
      <c r="D3" s="2" t="s">
        <v>10</v>
      </c>
      <c r="E3" s="2" t="s">
        <v>11</v>
      </c>
      <c r="F3" s="34"/>
      <c r="G3" s="57"/>
      <c r="H3" s="59"/>
      <c r="I3" s="3" t="s">
        <v>10</v>
      </c>
      <c r="J3" s="3" t="s">
        <v>11</v>
      </c>
      <c r="K3" s="34"/>
      <c r="L3" s="36"/>
      <c r="M3" s="38"/>
      <c r="N3" s="4" t="s">
        <v>10</v>
      </c>
      <c r="O3" s="4" t="s">
        <v>11</v>
      </c>
      <c r="P3" s="34"/>
      <c r="Q3" s="46"/>
      <c r="R3" s="43"/>
    </row>
    <row r="4" spans="1:18" ht="15" customHeight="1">
      <c r="A4" s="5">
        <v>46054</v>
      </c>
      <c r="B4" s="6"/>
      <c r="C4" s="6"/>
      <c r="D4" s="6"/>
      <c r="E4" s="6"/>
      <c r="F4" s="7" cm="1">
        <f t="array" ref="F4">C4-D4-E4</f>
        <v>0</v>
      </c>
      <c r="G4" s="8"/>
      <c r="H4" s="8"/>
      <c r="I4" s="8"/>
      <c r="J4" s="8"/>
      <c r="K4" s="7" cm="1">
        <f t="array" ref="K4">H4-I4-J4</f>
        <v>0</v>
      </c>
      <c r="L4" s="9"/>
      <c r="M4" s="9"/>
      <c r="N4" s="9"/>
      <c r="O4" s="9"/>
      <c r="P4" s="10" cm="1">
        <f t="array" ref="P4">M4-N4-O4</f>
        <v>0</v>
      </c>
      <c r="Q4" s="11"/>
      <c r="R4" s="11"/>
    </row>
    <row r="5" spans="1:18" ht="15" customHeight="1">
      <c r="A5" s="5">
        <v>46055</v>
      </c>
      <c r="B5" s="6"/>
      <c r="C5" s="6"/>
      <c r="D5" s="6"/>
      <c r="E5" s="6"/>
      <c r="F5" s="7" cm="1">
        <f t="array" ref="F5">C5-D5-E5</f>
        <v>0</v>
      </c>
      <c r="G5" s="8"/>
      <c r="H5" s="8"/>
      <c r="I5" s="8"/>
      <c r="J5" s="8"/>
      <c r="K5" s="7" cm="1">
        <f t="array" ref="K5">H5-I5-J5</f>
        <v>0</v>
      </c>
      <c r="L5" s="9"/>
      <c r="M5" s="9"/>
      <c r="N5" s="9"/>
      <c r="O5" s="9"/>
      <c r="P5" s="10" cm="1">
        <f t="array" ref="P5">M5-N5-O5</f>
        <v>0</v>
      </c>
      <c r="Q5" s="11"/>
      <c r="R5" s="11"/>
    </row>
    <row r="6" spans="1:18" ht="15" customHeight="1">
      <c r="A6" s="5">
        <v>46056</v>
      </c>
      <c r="B6" s="6"/>
      <c r="C6" s="6"/>
      <c r="D6" s="6"/>
      <c r="E6" s="6"/>
      <c r="F6" s="7" cm="1">
        <f t="array" ref="F6">C6-D6-E6</f>
        <v>0</v>
      </c>
      <c r="G6" s="8"/>
      <c r="H6" s="8"/>
      <c r="I6" s="8"/>
      <c r="J6" s="8"/>
      <c r="K6" s="7" cm="1">
        <f t="array" ref="K6">H6-I6-J6</f>
        <v>0</v>
      </c>
      <c r="L6" s="9"/>
      <c r="M6" s="9"/>
      <c r="N6" s="9"/>
      <c r="O6" s="9"/>
      <c r="P6" s="10" cm="1">
        <f t="array" ref="P6">M6-N6-O6</f>
        <v>0</v>
      </c>
      <c r="Q6" s="11"/>
      <c r="R6" s="11"/>
    </row>
    <row r="7" spans="1:18" ht="15" customHeight="1">
      <c r="A7" s="5">
        <v>46057</v>
      </c>
      <c r="B7" s="6"/>
      <c r="C7" s="6"/>
      <c r="D7" s="6"/>
      <c r="E7" s="6"/>
      <c r="F7" s="7" cm="1">
        <f t="array" ref="F7">C7-D7-E7</f>
        <v>0</v>
      </c>
      <c r="G7" s="8"/>
      <c r="H7" s="8"/>
      <c r="I7" s="8"/>
      <c r="J7" s="8"/>
      <c r="K7" s="7" cm="1">
        <f t="array" ref="K7">H7-I7-J7</f>
        <v>0</v>
      </c>
      <c r="L7" s="9"/>
      <c r="M7" s="9"/>
      <c r="N7" s="9"/>
      <c r="O7" s="9"/>
      <c r="P7" s="10" cm="1">
        <f t="array" ref="P7">M7-N7-O7</f>
        <v>0</v>
      </c>
      <c r="Q7" s="11"/>
      <c r="R7" s="11"/>
    </row>
    <row r="8" spans="1:18" ht="15" customHeight="1">
      <c r="A8" s="5">
        <v>46058</v>
      </c>
      <c r="B8" s="6"/>
      <c r="C8" s="6"/>
      <c r="D8" s="6"/>
      <c r="E8" s="6"/>
      <c r="F8" s="7" cm="1">
        <f t="array" ref="F8">C8-D8-E8</f>
        <v>0</v>
      </c>
      <c r="G8" s="8"/>
      <c r="H8" s="8"/>
      <c r="I8" s="8"/>
      <c r="J8" s="8"/>
      <c r="K8" s="7" cm="1">
        <f t="array" ref="K8">H8-I8-J8</f>
        <v>0</v>
      </c>
      <c r="L8" s="9"/>
      <c r="M8" s="9"/>
      <c r="N8" s="9"/>
      <c r="O8" s="9"/>
      <c r="P8" s="10" cm="1">
        <f t="array" ref="P8">M8-N8-O8</f>
        <v>0</v>
      </c>
      <c r="Q8" s="11"/>
      <c r="R8" s="11"/>
    </row>
    <row r="9" spans="1:18" ht="15" customHeight="1">
      <c r="A9" s="5">
        <v>46059</v>
      </c>
      <c r="B9" s="6"/>
      <c r="C9" s="6"/>
      <c r="D9" s="6"/>
      <c r="E9" s="6"/>
      <c r="F9" s="7" cm="1">
        <f t="array" ref="F9">C9-D9-E9</f>
        <v>0</v>
      </c>
      <c r="G9" s="8"/>
      <c r="H9" s="8"/>
      <c r="I9" s="8"/>
      <c r="J9" s="8"/>
      <c r="K9" s="7" cm="1">
        <f t="array" ref="K9">H9-I9-J9</f>
        <v>0</v>
      </c>
      <c r="L9" s="9"/>
      <c r="M9" s="9"/>
      <c r="N9" s="9"/>
      <c r="O9" s="9"/>
      <c r="P9" s="10" cm="1">
        <f t="array" ref="P9">M9-N9-O9</f>
        <v>0</v>
      </c>
      <c r="Q9" s="11"/>
      <c r="R9" s="11"/>
    </row>
    <row r="10" spans="1:18" ht="15" customHeight="1">
      <c r="A10" s="5">
        <v>46060</v>
      </c>
      <c r="B10" s="6"/>
      <c r="C10" s="6"/>
      <c r="D10" s="6"/>
      <c r="E10" s="6"/>
      <c r="F10" s="7" cm="1">
        <f t="array" ref="F10">C10-D10-E10</f>
        <v>0</v>
      </c>
      <c r="G10" s="8"/>
      <c r="H10" s="8"/>
      <c r="I10" s="8"/>
      <c r="J10" s="8"/>
      <c r="K10" s="7" cm="1">
        <f t="array" ref="K10">H10-I10-J10</f>
        <v>0</v>
      </c>
      <c r="L10" s="9"/>
      <c r="M10" s="9"/>
      <c r="N10" s="9"/>
      <c r="O10" s="9"/>
      <c r="P10" s="10" cm="1">
        <f t="array" ref="P10">M10-N10-O10</f>
        <v>0</v>
      </c>
      <c r="Q10" s="11"/>
      <c r="R10" s="11"/>
    </row>
    <row r="11" spans="1:18" ht="15" customHeight="1">
      <c r="A11" s="5">
        <v>46061</v>
      </c>
      <c r="B11" s="6"/>
      <c r="C11" s="6"/>
      <c r="D11" s="6"/>
      <c r="E11" s="6"/>
      <c r="F11" s="7" cm="1">
        <f t="array" ref="F11">C11-D11-E11</f>
        <v>0</v>
      </c>
      <c r="G11" s="8"/>
      <c r="H11" s="8"/>
      <c r="I11" s="8"/>
      <c r="J11" s="8"/>
      <c r="K11" s="7" cm="1">
        <f t="array" ref="K11">H11-I11-J11</f>
        <v>0</v>
      </c>
      <c r="L11" s="9"/>
      <c r="M11" s="9"/>
      <c r="N11" s="9"/>
      <c r="O11" s="9"/>
      <c r="P11" s="10" cm="1">
        <f t="array" ref="P11">M11-N11-O11</f>
        <v>0</v>
      </c>
      <c r="Q11" s="11"/>
      <c r="R11" s="11"/>
    </row>
    <row r="12" spans="1:18" ht="15" customHeight="1">
      <c r="A12" s="5">
        <v>46062</v>
      </c>
      <c r="B12" s="6"/>
      <c r="C12" s="6"/>
      <c r="D12" s="6"/>
      <c r="E12" s="6"/>
      <c r="F12" s="7" cm="1">
        <f t="array" ref="F12">C12-D12-E12</f>
        <v>0</v>
      </c>
      <c r="G12" s="8"/>
      <c r="H12" s="8"/>
      <c r="I12" s="8"/>
      <c r="J12" s="8"/>
      <c r="K12" s="7" cm="1">
        <f t="array" ref="K12">H12-I12-J12</f>
        <v>0</v>
      </c>
      <c r="L12" s="9"/>
      <c r="M12" s="9"/>
      <c r="N12" s="9"/>
      <c r="O12" s="9"/>
      <c r="P12" s="10" cm="1">
        <f t="array" ref="P12">M12-N12-O12</f>
        <v>0</v>
      </c>
      <c r="Q12" s="11"/>
      <c r="R12" s="11"/>
    </row>
    <row r="13" spans="1:18" ht="15" customHeight="1">
      <c r="A13" s="5">
        <v>46063</v>
      </c>
      <c r="B13" s="6"/>
      <c r="C13" s="6"/>
      <c r="D13" s="6"/>
      <c r="E13" s="6"/>
      <c r="F13" s="7" cm="1">
        <f t="array" ref="F13">C13-D13-E13</f>
        <v>0</v>
      </c>
      <c r="G13" s="8"/>
      <c r="H13" s="8"/>
      <c r="I13" s="8"/>
      <c r="J13" s="8"/>
      <c r="K13" s="7" cm="1">
        <f t="array" ref="K13">H13-I13-J13</f>
        <v>0</v>
      </c>
      <c r="L13" s="9"/>
      <c r="M13" s="9"/>
      <c r="N13" s="9"/>
      <c r="O13" s="9"/>
      <c r="P13" s="10" cm="1">
        <f t="array" ref="P13">M13-N13-O13</f>
        <v>0</v>
      </c>
      <c r="Q13" s="11"/>
      <c r="R13" s="11"/>
    </row>
    <row r="14" spans="1:18" ht="15" customHeight="1">
      <c r="A14" s="5">
        <v>46064</v>
      </c>
      <c r="B14" s="6">
        <v>1045000</v>
      </c>
      <c r="C14" s="6"/>
      <c r="D14" s="6"/>
      <c r="E14" s="6"/>
      <c r="F14" s="7" cm="1">
        <f t="array" ref="F14">C14-D14-E14</f>
        <v>0</v>
      </c>
      <c r="G14" s="8">
        <v>1445000</v>
      </c>
      <c r="H14" s="8"/>
      <c r="I14" s="8"/>
      <c r="J14" s="8"/>
      <c r="K14" s="7" cm="1">
        <f t="array" ref="K14">H14-I14-J14</f>
        <v>0</v>
      </c>
      <c r="L14" s="9">
        <v>895000</v>
      </c>
      <c r="M14" s="9"/>
      <c r="N14" s="9"/>
      <c r="O14" s="9"/>
      <c r="P14" s="10" cm="1">
        <f t="array" ref="P14">M14-N14-O14</f>
        <v>0</v>
      </c>
      <c r="Q14" s="11"/>
      <c r="R14" s="11"/>
    </row>
    <row r="15" spans="1:18" ht="15" customHeight="1">
      <c r="A15" s="5">
        <v>46065</v>
      </c>
      <c r="B15" s="6">
        <v>25000</v>
      </c>
      <c r="C15" s="6"/>
      <c r="D15" s="6"/>
      <c r="E15" s="6"/>
      <c r="F15" s="7" cm="1">
        <f t="array" ref="F15">C15-D15-E15</f>
        <v>0</v>
      </c>
      <c r="G15" s="8">
        <v>25000</v>
      </c>
      <c r="H15" s="8"/>
      <c r="I15" s="8"/>
      <c r="J15" s="8"/>
      <c r="K15" s="7" cm="1">
        <f t="array" ref="K15">H15-I15-J15</f>
        <v>0</v>
      </c>
      <c r="L15" s="9">
        <v>25000</v>
      </c>
      <c r="M15" s="9"/>
      <c r="N15" s="9"/>
      <c r="O15" s="9"/>
      <c r="P15" s="10" cm="1">
        <f t="array" ref="P15">M15-N15-O15</f>
        <v>0</v>
      </c>
      <c r="Q15" s="11"/>
      <c r="R15" s="11"/>
    </row>
    <row r="16" spans="1:18" ht="15" customHeight="1">
      <c r="A16" s="5">
        <v>46066</v>
      </c>
      <c r="B16" s="6">
        <v>10100</v>
      </c>
      <c r="C16" s="6"/>
      <c r="D16" s="6"/>
      <c r="E16" s="6"/>
      <c r="F16" s="7" cm="1">
        <f t="array" ref="F16">C16-D16-E16</f>
        <v>0</v>
      </c>
      <c r="G16" s="8">
        <v>12500</v>
      </c>
      <c r="H16" s="8"/>
      <c r="I16" s="8"/>
      <c r="J16" s="8"/>
      <c r="K16" s="7" cm="1">
        <f t="array" ref="K16">H16-I16-J16</f>
        <v>0</v>
      </c>
      <c r="L16" s="9">
        <v>8700</v>
      </c>
      <c r="M16" s="9"/>
      <c r="N16" s="9"/>
      <c r="O16" s="9"/>
      <c r="P16" s="10" cm="1">
        <f t="array" ref="P16">M16-N16-O16</f>
        <v>0</v>
      </c>
      <c r="Q16" s="11"/>
      <c r="R16" s="11"/>
    </row>
    <row r="17" spans="1:18" ht="15" customHeight="1">
      <c r="A17" s="5">
        <v>46067</v>
      </c>
      <c r="B17" s="6">
        <v>5700</v>
      </c>
      <c r="C17" s="6"/>
      <c r="D17" s="6"/>
      <c r="E17" s="6"/>
      <c r="F17" s="7" cm="1">
        <f t="array" ref="F17">C17-D17-E17</f>
        <v>0</v>
      </c>
      <c r="G17" s="8">
        <v>9000</v>
      </c>
      <c r="H17" s="8"/>
      <c r="I17" s="8"/>
      <c r="J17" s="8"/>
      <c r="K17" s="7" cm="1">
        <f t="array" ref="K17">H17-I17-J17</f>
        <v>0</v>
      </c>
      <c r="L17" s="9">
        <v>5800</v>
      </c>
      <c r="M17" s="9"/>
      <c r="N17" s="9"/>
      <c r="O17" s="9"/>
      <c r="P17" s="10" cm="1">
        <f t="array" ref="P17">M17-N17-O17</f>
        <v>0</v>
      </c>
      <c r="Q17" s="11"/>
      <c r="R17" s="11"/>
    </row>
    <row r="18" spans="1:18" ht="15" customHeight="1">
      <c r="A18" s="5">
        <v>46068</v>
      </c>
      <c r="B18" s="6">
        <v>8000</v>
      </c>
      <c r="C18" s="6"/>
      <c r="D18" s="6"/>
      <c r="E18" s="6"/>
      <c r="F18" s="7" cm="1">
        <f t="array" ref="F18">C18-D18-E18</f>
        <v>0</v>
      </c>
      <c r="G18" s="8">
        <v>15550</v>
      </c>
      <c r="H18" s="8">
        <v>4500</v>
      </c>
      <c r="I18" s="8"/>
      <c r="J18" s="8"/>
      <c r="K18" s="7" cm="1">
        <f t="array" ref="K18">H18-I18-J18</f>
        <v>4500</v>
      </c>
      <c r="L18" s="9">
        <v>8000</v>
      </c>
      <c r="M18" s="9"/>
      <c r="N18" s="9"/>
      <c r="O18" s="9"/>
      <c r="P18" s="10" cm="1">
        <f t="array" ref="P18">M18-N18-O18</f>
        <v>0</v>
      </c>
      <c r="Q18" s="11"/>
      <c r="R18" s="11"/>
    </row>
    <row r="19" spans="1:18" ht="15" customHeight="1">
      <c r="A19" s="5">
        <v>46069</v>
      </c>
      <c r="B19" s="6">
        <v>3300</v>
      </c>
      <c r="C19" s="6"/>
      <c r="D19" s="6"/>
      <c r="E19" s="6"/>
      <c r="F19" s="7" cm="1">
        <f t="array" ref="F19">C19-D19-E19</f>
        <v>0</v>
      </c>
      <c r="G19" s="8"/>
      <c r="H19" s="8">
        <v>4500</v>
      </c>
      <c r="I19" s="8"/>
      <c r="J19" s="8"/>
      <c r="K19" s="7" cm="1">
        <f t="array" ref="K19">H19-I19-J19</f>
        <v>4500</v>
      </c>
      <c r="L19" s="9">
        <v>3300</v>
      </c>
      <c r="M19" s="9"/>
      <c r="N19" s="9"/>
      <c r="O19" s="9"/>
      <c r="P19" s="10" cm="1">
        <f t="array" ref="P19">M19-N19-O19</f>
        <v>0</v>
      </c>
      <c r="Q19" s="11"/>
      <c r="R19" s="11"/>
    </row>
    <row r="20" spans="1:18" ht="15" customHeight="1">
      <c r="A20" s="5">
        <v>46070</v>
      </c>
      <c r="B20" s="6">
        <v>500</v>
      </c>
      <c r="C20" s="6"/>
      <c r="D20" s="6"/>
      <c r="E20" s="6"/>
      <c r="F20" s="7" cm="1">
        <f t="array" ref="F20">C20-D20-E20</f>
        <v>0</v>
      </c>
      <c r="G20" s="8">
        <v>500</v>
      </c>
      <c r="H20" s="8">
        <v>4500</v>
      </c>
      <c r="I20" s="8"/>
      <c r="J20" s="8"/>
      <c r="K20" s="7" cm="1">
        <f t="array" ref="K20">H20-I20-J20</f>
        <v>4500</v>
      </c>
      <c r="L20" s="9">
        <v>500</v>
      </c>
      <c r="M20" s="9"/>
      <c r="N20" s="9"/>
      <c r="O20" s="9"/>
      <c r="P20" s="10" cm="1">
        <f t="array" ref="P20">M20-N20-O20</f>
        <v>0</v>
      </c>
      <c r="Q20" s="11"/>
      <c r="R20" s="11"/>
    </row>
    <row r="21" spans="1:18" ht="15" customHeight="1">
      <c r="A21" s="5">
        <v>46071</v>
      </c>
      <c r="B21" s="6">
        <v>13500</v>
      </c>
      <c r="C21" s="6"/>
      <c r="D21" s="6"/>
      <c r="E21" s="6"/>
      <c r="F21" s="7" cm="1">
        <f t="array" ref="F21">C21-D21-E21</f>
        <v>0</v>
      </c>
      <c r="G21" s="8">
        <v>10000</v>
      </c>
      <c r="H21" s="8">
        <v>4500</v>
      </c>
      <c r="I21" s="8"/>
      <c r="J21" s="8"/>
      <c r="K21" s="7" cm="1">
        <f t="array" ref="K21">H21-I21-J21</f>
        <v>4500</v>
      </c>
      <c r="L21" s="9">
        <v>13500</v>
      </c>
      <c r="M21" s="9"/>
      <c r="N21" s="9"/>
      <c r="O21" s="9"/>
      <c r="P21" s="10" cm="1">
        <f t="array" ref="P21">M21-N21-O21</f>
        <v>0</v>
      </c>
      <c r="Q21" s="11"/>
      <c r="R21" s="11"/>
    </row>
    <row r="22" spans="1:18" ht="15" customHeight="1">
      <c r="A22" s="5">
        <v>46072</v>
      </c>
      <c r="B22" s="6">
        <v>13000</v>
      </c>
      <c r="C22" s="6"/>
      <c r="D22" s="6"/>
      <c r="E22" s="6"/>
      <c r="F22" s="7" cm="1">
        <f t="array" ref="F22">C22-D22-E22</f>
        <v>0</v>
      </c>
      <c r="G22" s="8"/>
      <c r="H22" s="8">
        <v>4500</v>
      </c>
      <c r="I22" s="8"/>
      <c r="J22" s="8"/>
      <c r="K22" s="7" cm="1">
        <f t="array" ref="K22">H22-I22-J22</f>
        <v>4500</v>
      </c>
      <c r="L22" s="9">
        <v>13000</v>
      </c>
      <c r="M22" s="9"/>
      <c r="N22" s="9"/>
      <c r="O22" s="9"/>
      <c r="P22" s="10" cm="1">
        <f t="array" ref="P22">M22-N22-O22</f>
        <v>0</v>
      </c>
      <c r="Q22" s="11"/>
      <c r="R22" s="11"/>
    </row>
    <row r="23" spans="1:18" ht="15" customHeight="1">
      <c r="A23" s="5">
        <v>46073</v>
      </c>
      <c r="B23" s="6">
        <v>10000</v>
      </c>
      <c r="C23" s="6"/>
      <c r="D23" s="6"/>
      <c r="E23" s="6"/>
      <c r="F23" s="7" cm="1">
        <f t="array" ref="F23">C23-D23-E23</f>
        <v>0</v>
      </c>
      <c r="G23" s="8"/>
      <c r="H23" s="8">
        <v>4500</v>
      </c>
      <c r="I23" s="8"/>
      <c r="J23" s="8"/>
      <c r="K23" s="7" cm="1">
        <f t="array" ref="K23">H23-I23-J23</f>
        <v>4500</v>
      </c>
      <c r="L23" s="9">
        <v>10000</v>
      </c>
      <c r="M23" s="9"/>
      <c r="N23" s="9"/>
      <c r="O23" s="9"/>
      <c r="P23" s="10" cm="1">
        <f t="array" ref="P23">M23-N23-O23</f>
        <v>0</v>
      </c>
      <c r="Q23" s="11"/>
      <c r="R23" s="11"/>
    </row>
    <row r="24" spans="1:18" ht="15" customHeight="1">
      <c r="A24" s="5">
        <v>46074</v>
      </c>
      <c r="B24" s="6"/>
      <c r="C24" s="6"/>
      <c r="D24" s="6"/>
      <c r="E24" s="6"/>
      <c r="F24" s="7" cm="1">
        <f t="array" ref="F24">C24-D24-E24</f>
        <v>0</v>
      </c>
      <c r="G24" s="8"/>
      <c r="H24" s="8">
        <v>4500</v>
      </c>
      <c r="I24" s="8"/>
      <c r="J24" s="8"/>
      <c r="K24" s="7" cm="1">
        <f t="array" ref="K24">H24-I24-J24</f>
        <v>4500</v>
      </c>
      <c r="L24" s="9"/>
      <c r="M24" s="9">
        <v>3500</v>
      </c>
      <c r="N24" s="9"/>
      <c r="O24" s="9"/>
      <c r="P24" s="10" cm="1">
        <f t="array" ref="P24">M24-N24-O24</f>
        <v>3500</v>
      </c>
      <c r="Q24" s="11"/>
      <c r="R24" s="11"/>
    </row>
    <row r="25" spans="1:18" ht="15" customHeight="1">
      <c r="A25" s="5">
        <v>46075</v>
      </c>
      <c r="B25" s="6"/>
      <c r="C25" s="6">
        <v>3500</v>
      </c>
      <c r="D25" s="6"/>
      <c r="E25" s="6"/>
      <c r="F25" s="7" cm="1">
        <f t="array" ref="F25">C25-D25-E25</f>
        <v>3500</v>
      </c>
      <c r="G25" s="8"/>
      <c r="H25" s="8">
        <v>4500</v>
      </c>
      <c r="I25" s="8"/>
      <c r="J25" s="8"/>
      <c r="K25" s="7" cm="1">
        <f t="array" ref="K25">H25-I25-J25</f>
        <v>4500</v>
      </c>
      <c r="L25" s="9"/>
      <c r="M25" s="9">
        <v>3500</v>
      </c>
      <c r="N25" s="9"/>
      <c r="O25" s="9"/>
      <c r="P25" s="10" cm="1">
        <f t="array" ref="P25">M25-N25-O25</f>
        <v>3500</v>
      </c>
      <c r="Q25" s="11"/>
      <c r="R25" s="11"/>
    </row>
    <row r="26" spans="1:18" ht="15" customHeight="1">
      <c r="A26" s="5">
        <v>46076</v>
      </c>
      <c r="B26" s="6"/>
      <c r="C26" s="6">
        <v>3500</v>
      </c>
      <c r="D26" s="6"/>
      <c r="E26" s="6"/>
      <c r="F26" s="7" cm="1">
        <f t="array" ref="F26">C26-D26-E26</f>
        <v>3500</v>
      </c>
      <c r="G26" s="8"/>
      <c r="H26" s="8">
        <v>4500</v>
      </c>
      <c r="I26" s="8"/>
      <c r="J26" s="8"/>
      <c r="K26" s="7" cm="1">
        <f t="array" ref="K26">H26-I26-J26</f>
        <v>4500</v>
      </c>
      <c r="L26" s="9"/>
      <c r="M26" s="9">
        <v>3500</v>
      </c>
      <c r="N26" s="9"/>
      <c r="O26" s="9"/>
      <c r="P26" s="10" cm="1">
        <f t="array" ref="P26">M26-N26-O26</f>
        <v>3500</v>
      </c>
      <c r="Q26" s="11"/>
      <c r="R26" s="11"/>
    </row>
    <row r="27" spans="1:18" ht="15" customHeight="1">
      <c r="A27" s="5">
        <v>46077</v>
      </c>
      <c r="B27" s="6"/>
      <c r="C27" s="6">
        <v>3500</v>
      </c>
      <c r="D27" s="6"/>
      <c r="E27" s="6"/>
      <c r="F27" s="7" cm="1">
        <f t="array" ref="F27">C27-D27-E27</f>
        <v>3500</v>
      </c>
      <c r="G27" s="8"/>
      <c r="H27" s="8"/>
      <c r="I27" s="8"/>
      <c r="J27" s="8"/>
      <c r="K27" s="7" cm="1">
        <f t="array" ref="K27">H27-I27-J27</f>
        <v>0</v>
      </c>
      <c r="L27" s="9"/>
      <c r="M27" s="9"/>
      <c r="N27" s="9"/>
      <c r="O27" s="9"/>
      <c r="P27" s="10" cm="1">
        <f t="array" ref="P27">M27-N27-O27</f>
        <v>0</v>
      </c>
      <c r="Q27" s="11"/>
      <c r="R27" s="11"/>
    </row>
    <row r="28" spans="1:18" ht="15" customHeight="1">
      <c r="A28" s="5">
        <v>46078</v>
      </c>
      <c r="B28" s="6"/>
      <c r="C28" s="6"/>
      <c r="D28" s="6"/>
      <c r="E28" s="6"/>
      <c r="F28" s="7" cm="1">
        <f t="array" ref="F28">C28-D28-E28</f>
        <v>0</v>
      </c>
      <c r="G28" s="8"/>
      <c r="H28" s="8"/>
      <c r="I28" s="8"/>
      <c r="J28" s="8"/>
      <c r="K28" s="7" cm="1">
        <f t="array" ref="K28">H28-I28-J28</f>
        <v>0</v>
      </c>
      <c r="L28" s="9"/>
      <c r="M28" s="9"/>
      <c r="N28" s="9"/>
      <c r="O28" s="9"/>
      <c r="P28" s="10" cm="1">
        <f t="array" ref="P28">M28-N28-O28</f>
        <v>0</v>
      </c>
      <c r="Q28" s="11"/>
      <c r="R28" s="11"/>
    </row>
    <row r="29" spans="1:18" ht="15" customHeight="1">
      <c r="A29" s="5">
        <v>46079</v>
      </c>
      <c r="B29" s="6"/>
      <c r="C29" s="6">
        <v>3500</v>
      </c>
      <c r="D29" s="6"/>
      <c r="E29" s="6"/>
      <c r="F29" s="7" cm="1">
        <f t="array" ref="F29">C29-D29-E29</f>
        <v>3500</v>
      </c>
      <c r="G29" s="8"/>
      <c r="H29" s="8"/>
      <c r="I29" s="8"/>
      <c r="J29" s="8"/>
      <c r="K29" s="7" cm="1">
        <f t="array" ref="K29">H29-I29-J29</f>
        <v>0</v>
      </c>
      <c r="L29" s="9"/>
      <c r="M29" s="9"/>
      <c r="N29" s="9"/>
      <c r="O29" s="9"/>
      <c r="P29" s="10" cm="1">
        <f t="array" ref="P29">M29-N29-O29</f>
        <v>0</v>
      </c>
      <c r="Q29" s="11"/>
      <c r="R29" s="11"/>
    </row>
    <row r="30" spans="1:18" ht="15" customHeight="1">
      <c r="A30" s="5">
        <v>46080</v>
      </c>
      <c r="B30" s="6"/>
      <c r="C30" s="6"/>
      <c r="D30" s="6"/>
      <c r="E30" s="6"/>
      <c r="F30" s="7" cm="1">
        <f t="array" ref="F30">C30-D30-E30</f>
        <v>0</v>
      </c>
      <c r="G30" s="8"/>
      <c r="H30" s="8"/>
      <c r="I30" s="8"/>
      <c r="J30" s="8"/>
      <c r="K30" s="7" cm="1">
        <f t="array" ref="K30">H30-I30-J30</f>
        <v>0</v>
      </c>
      <c r="L30" s="9"/>
      <c r="M30" s="9"/>
      <c r="N30" s="9"/>
      <c r="O30" s="9"/>
      <c r="P30" s="10" cm="1">
        <f t="array" ref="P30">M30-N30-O30</f>
        <v>0</v>
      </c>
      <c r="Q30" s="11"/>
      <c r="R30" s="11"/>
    </row>
    <row r="31" spans="1:18" ht="15" customHeight="1">
      <c r="A31" s="5">
        <v>46081</v>
      </c>
      <c r="B31" s="6"/>
      <c r="C31" s="6"/>
      <c r="D31" s="6"/>
      <c r="E31" s="6"/>
      <c r="F31" s="7" cm="1">
        <f t="array" ref="F31">C31-D31-E31</f>
        <v>0</v>
      </c>
      <c r="G31" s="8">
        <v>15300</v>
      </c>
      <c r="H31" s="8"/>
      <c r="I31" s="8">
        <v>2000</v>
      </c>
      <c r="J31" s="8">
        <v>1700</v>
      </c>
      <c r="K31" s="7" cm="1">
        <f t="array" ref="K31">H31-I31-J31</f>
        <v>-3700</v>
      </c>
      <c r="L31" s="9"/>
      <c r="M31" s="9">
        <v>3000</v>
      </c>
      <c r="N31" s="9"/>
      <c r="O31" s="9"/>
      <c r="P31" s="10" cm="1">
        <f t="array" ref="P31">M31-N31-O31</f>
        <v>3000</v>
      </c>
      <c r="Q31" s="11">
        <v>12860</v>
      </c>
      <c r="R31" s="11"/>
    </row>
    <row r="32" spans="1:18" ht="15" customHeight="1">
      <c r="A32" s="12" t="s">
        <v>12</v>
      </c>
      <c r="B32" s="13" cm="1">
        <f t="array" ref="B32">SUM(B4:B31)</f>
        <v>1134100</v>
      </c>
      <c r="C32" s="13" cm="1">
        <f t="array" ref="C32">SUM(C4:C31)</f>
        <v>14000</v>
      </c>
      <c r="D32" s="13" cm="1">
        <f t="array" ref="D32">SUM(D4:D31)</f>
        <v>0</v>
      </c>
      <c r="E32" s="13" cm="1">
        <f t="array" ref="E32">SUM(E4:E31)</f>
        <v>0</v>
      </c>
      <c r="F32" s="14" cm="1">
        <f t="array" ref="F32">C32-D32-E32</f>
        <v>14000</v>
      </c>
      <c r="G32" s="15" cm="1">
        <f t="array" ref="G32">SUM(G4:G31)</f>
        <v>1532850</v>
      </c>
      <c r="H32" s="15" cm="1">
        <f t="array" ref="H32">SUM(H4:H31)</f>
        <v>40500</v>
      </c>
      <c r="I32" s="15" cm="1">
        <f t="array" ref="I32">SUM(I4:I31)</f>
        <v>2000</v>
      </c>
      <c r="J32" s="15" cm="1">
        <f t="array" ref="J32">SUM(J4:J31)</f>
        <v>1700</v>
      </c>
      <c r="K32" s="14" cm="1">
        <f t="array" ref="K32">H32-I32-J32</f>
        <v>36800</v>
      </c>
      <c r="L32" s="16" cm="1">
        <f t="array" ref="L32">SUM(L4:L31)</f>
        <v>982800</v>
      </c>
      <c r="M32" s="16" cm="1">
        <f t="array" ref="M32">SUM(M4:M31)</f>
        <v>13500</v>
      </c>
      <c r="N32" s="16" cm="1">
        <f t="array" ref="N32">SUM(N4:N31)</f>
        <v>0</v>
      </c>
      <c r="O32" s="16" cm="1">
        <f t="array" ref="O32">SUM(O4:O31)</f>
        <v>0</v>
      </c>
      <c r="P32" s="17" cm="1">
        <f t="array" ref="P32">M32-N32-O32</f>
        <v>13500</v>
      </c>
      <c r="Q32" s="11" cm="1">
        <f t="array" ref="Q32">SUM(F32,K32,P32)</f>
        <v>64300</v>
      </c>
      <c r="R32" s="11" cm="1">
        <f t="array" ref="R32">Q32</f>
        <v>64300</v>
      </c>
    </row>
    <row r="33" spans="1:18" ht="14.4" customHeight="1">
      <c r="A33" s="18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0"/>
      <c r="R33" s="21"/>
    </row>
  </sheetData>
  <mergeCells count="18">
    <mergeCell ref="G2:G3"/>
    <mergeCell ref="H2:H3"/>
    <mergeCell ref="I2:J2"/>
    <mergeCell ref="G1:K1"/>
    <mergeCell ref="L1:P1"/>
    <mergeCell ref="K2:K3"/>
    <mergeCell ref="A1:A3"/>
    <mergeCell ref="B2:B3"/>
    <mergeCell ref="B1:F1"/>
    <mergeCell ref="C2:C3"/>
    <mergeCell ref="D2:E2"/>
    <mergeCell ref="F2:F3"/>
    <mergeCell ref="P2:P3"/>
    <mergeCell ref="L2:L3"/>
    <mergeCell ref="M2:M3"/>
    <mergeCell ref="N2:O2"/>
    <mergeCell ref="R1:R3"/>
    <mergeCell ref="Q1:Q3"/>
  </mergeCell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5"/>
  <sheetViews>
    <sheetView showGridLines="0" topLeftCell="C1" workbookViewId="0">
      <selection activeCell="Q1" sqref="Q1:U35"/>
    </sheetView>
  </sheetViews>
  <sheetFormatPr defaultColWidth="8.88671875" defaultRowHeight="14.4" customHeight="1"/>
  <cols>
    <col min="1" max="1" width="33.21875" style="22" customWidth="1"/>
    <col min="2" max="2" width="17.88671875" style="22" customWidth="1"/>
    <col min="3" max="3" width="13.21875" style="22" customWidth="1"/>
    <col min="4" max="4" width="13.6640625" style="22" customWidth="1"/>
    <col min="5" max="5" width="8.88671875" style="22" customWidth="1"/>
    <col min="6" max="6" width="16.21875" style="22" customWidth="1"/>
    <col min="7" max="7" width="15.88671875" style="22" customWidth="1"/>
    <col min="8" max="8" width="14.44140625" style="22" customWidth="1"/>
    <col min="9" max="10" width="8.88671875" style="22" customWidth="1"/>
    <col min="11" max="11" width="14.21875" style="22" customWidth="1"/>
    <col min="12" max="12" width="14.33203125" style="22" customWidth="1"/>
    <col min="13" max="13" width="12.88671875" style="22" customWidth="1"/>
    <col min="14" max="15" width="8.88671875" style="22" customWidth="1"/>
    <col min="16" max="16" width="12.33203125" style="22" customWidth="1"/>
    <col min="17" max="17" width="12.33203125" style="32" customWidth="1"/>
    <col min="18" max="18" width="14.5546875" customWidth="1"/>
    <col min="20" max="20" width="8.88671875" style="22" customWidth="1"/>
    <col min="21" max="21" width="17.109375" style="22" customWidth="1"/>
    <col min="22" max="22" width="21.77734375" style="22" customWidth="1"/>
    <col min="23" max="23" width="18.21875" style="22" customWidth="1"/>
    <col min="24" max="16384" width="8.88671875" style="22"/>
  </cols>
  <sheetData>
    <row r="1" spans="1:23" ht="14.4" customHeight="1" thickBot="1">
      <c r="A1" s="47" t="s">
        <v>0</v>
      </c>
      <c r="B1" s="51" t="s">
        <v>1</v>
      </c>
      <c r="C1" s="52"/>
      <c r="D1" s="52"/>
      <c r="E1" s="52"/>
      <c r="F1" s="53"/>
      <c r="G1" s="60" t="s">
        <v>2</v>
      </c>
      <c r="H1" s="66"/>
      <c r="I1" s="66"/>
      <c r="J1" s="66"/>
      <c r="K1" s="61"/>
      <c r="L1" s="39" t="s">
        <v>3</v>
      </c>
      <c r="M1" s="65"/>
      <c r="N1" s="65"/>
      <c r="O1" s="65"/>
      <c r="P1" s="40"/>
      <c r="Q1" s="39" t="s">
        <v>14</v>
      </c>
      <c r="R1" s="65"/>
      <c r="S1" s="65"/>
      <c r="T1" s="65"/>
      <c r="U1" s="40"/>
      <c r="V1" s="44" t="s">
        <v>4</v>
      </c>
      <c r="W1" s="41" t="s">
        <v>5</v>
      </c>
    </row>
    <row r="2" spans="1:23" ht="14.4" customHeight="1" thickBot="1">
      <c r="A2" s="48"/>
      <c r="B2" s="49" t="s">
        <v>13</v>
      </c>
      <c r="C2" s="54" t="s">
        <v>7</v>
      </c>
      <c r="D2" s="51" t="s">
        <v>8</v>
      </c>
      <c r="E2" s="53"/>
      <c r="F2" s="33" t="s">
        <v>9</v>
      </c>
      <c r="G2" s="56" t="s">
        <v>6</v>
      </c>
      <c r="H2" s="58" t="s">
        <v>7</v>
      </c>
      <c r="I2" s="60" t="s">
        <v>8</v>
      </c>
      <c r="J2" s="61"/>
      <c r="K2" s="33" t="s">
        <v>9</v>
      </c>
      <c r="L2" s="35" t="s">
        <v>6</v>
      </c>
      <c r="M2" s="37" t="s">
        <v>7</v>
      </c>
      <c r="N2" s="39" t="s">
        <v>8</v>
      </c>
      <c r="O2" s="40"/>
      <c r="P2" s="33" t="s">
        <v>9</v>
      </c>
      <c r="Q2" s="35" t="s">
        <v>6</v>
      </c>
      <c r="R2" s="37" t="s">
        <v>7</v>
      </c>
      <c r="S2" s="39" t="s">
        <v>8</v>
      </c>
      <c r="T2" s="40"/>
      <c r="U2" s="33" t="s">
        <v>9</v>
      </c>
      <c r="V2" s="45"/>
      <c r="W2" s="42"/>
    </row>
    <row r="3" spans="1:23" ht="29.4" customHeight="1" thickBot="1">
      <c r="A3" s="48"/>
      <c r="B3" s="50"/>
      <c r="C3" s="55"/>
      <c r="D3" s="2" t="s">
        <v>10</v>
      </c>
      <c r="E3" s="2" t="s">
        <v>11</v>
      </c>
      <c r="F3" s="34"/>
      <c r="G3" s="57"/>
      <c r="H3" s="59"/>
      <c r="I3" s="3" t="s">
        <v>10</v>
      </c>
      <c r="J3" s="3" t="s">
        <v>11</v>
      </c>
      <c r="K3" s="34"/>
      <c r="L3" s="36"/>
      <c r="M3" s="38"/>
      <c r="N3" s="4" t="s">
        <v>10</v>
      </c>
      <c r="O3" s="4" t="s">
        <v>11</v>
      </c>
      <c r="P3" s="34"/>
      <c r="Q3" s="36"/>
      <c r="R3" s="38"/>
      <c r="S3" s="4" t="s">
        <v>10</v>
      </c>
      <c r="T3" s="4" t="s">
        <v>11</v>
      </c>
      <c r="U3" s="34"/>
      <c r="V3" s="46"/>
      <c r="W3" s="43"/>
    </row>
    <row r="4" spans="1:23" ht="14.4" customHeight="1" thickBot="1">
      <c r="A4" s="5">
        <v>46082</v>
      </c>
      <c r="B4" s="6"/>
      <c r="C4" s="6"/>
      <c r="D4" s="6"/>
      <c r="E4" s="6"/>
      <c r="F4" s="7" cm="1">
        <f t="array" ref="F4">C4-D4-E4</f>
        <v>0</v>
      </c>
      <c r="G4" s="8"/>
      <c r="H4" s="8"/>
      <c r="I4" s="8"/>
      <c r="J4" s="8"/>
      <c r="K4" s="7" cm="1">
        <f t="array" ref="K4">H4-I4-J4</f>
        <v>0</v>
      </c>
      <c r="L4" s="9"/>
      <c r="M4" s="9">
        <v>3000</v>
      </c>
      <c r="N4" s="9"/>
      <c r="O4" s="9"/>
      <c r="P4" s="10" cm="1">
        <f t="array" ref="P4">M4-N4-O4</f>
        <v>3000</v>
      </c>
      <c r="Q4" s="9"/>
      <c r="R4" s="9"/>
      <c r="S4" s="9"/>
      <c r="T4" s="9"/>
      <c r="U4" s="10" cm="1">
        <f t="array" ref="U4">R4-S4-T4</f>
        <v>0</v>
      </c>
      <c r="V4" s="11"/>
      <c r="W4" s="11"/>
    </row>
    <row r="5" spans="1:23" ht="14.4" customHeight="1" thickBot="1">
      <c r="A5" s="5">
        <v>46083</v>
      </c>
      <c r="B5" s="6"/>
      <c r="C5" s="6"/>
      <c r="D5" s="6"/>
      <c r="E5" s="6"/>
      <c r="F5" s="7" cm="1">
        <f t="array" ref="F5">C5-D5-E5</f>
        <v>0</v>
      </c>
      <c r="G5" s="8"/>
      <c r="H5" s="8"/>
      <c r="I5" s="8"/>
      <c r="J5" s="8"/>
      <c r="K5" s="7" cm="1">
        <f t="array" ref="K5">H5-I5-J5</f>
        <v>0</v>
      </c>
      <c r="L5" s="9"/>
      <c r="M5" s="9">
        <v>3000</v>
      </c>
      <c r="N5" s="9"/>
      <c r="O5" s="9"/>
      <c r="P5" s="10" cm="1">
        <f t="array" ref="P5">M5-N5-O5</f>
        <v>3000</v>
      </c>
      <c r="Q5" s="9"/>
      <c r="R5" s="9"/>
      <c r="S5" s="9"/>
      <c r="T5" s="9"/>
      <c r="U5" s="10" cm="1">
        <f t="array" ref="U5">R5-S5-T5</f>
        <v>0</v>
      </c>
      <c r="V5" s="11"/>
      <c r="W5" s="11"/>
    </row>
    <row r="6" spans="1:23" ht="14.4" customHeight="1" thickBot="1">
      <c r="A6" s="5">
        <v>46084</v>
      </c>
      <c r="B6" s="6"/>
      <c r="C6" s="6"/>
      <c r="D6" s="6"/>
      <c r="E6" s="6"/>
      <c r="F6" s="7" cm="1">
        <f t="array" ref="F6">C6-D6-E6</f>
        <v>0</v>
      </c>
      <c r="G6" s="8"/>
      <c r="H6" s="8">
        <v>5000</v>
      </c>
      <c r="I6" s="8"/>
      <c r="J6" s="8"/>
      <c r="K6" s="7" cm="1">
        <f t="array" ref="K6">H6-I6-J6</f>
        <v>5000</v>
      </c>
      <c r="L6" s="9"/>
      <c r="M6" s="9">
        <v>3000</v>
      </c>
      <c r="N6" s="9"/>
      <c r="O6" s="9"/>
      <c r="P6" s="10" cm="1">
        <f t="array" ref="P6">M6-N6-O6</f>
        <v>3000</v>
      </c>
      <c r="Q6" s="9"/>
      <c r="R6" s="9"/>
      <c r="S6" s="9"/>
      <c r="T6" s="9"/>
      <c r="U6" s="10" cm="1">
        <f t="array" ref="U6">R6-S6-T6</f>
        <v>0</v>
      </c>
      <c r="V6" s="11"/>
      <c r="W6" s="11"/>
    </row>
    <row r="7" spans="1:23" ht="14.4" customHeight="1" thickBot="1">
      <c r="A7" s="5">
        <v>46085</v>
      </c>
      <c r="B7" s="6"/>
      <c r="C7" s="6"/>
      <c r="D7" s="6"/>
      <c r="E7" s="6"/>
      <c r="F7" s="7" cm="1">
        <f t="array" ref="F7">C7-D7-E7</f>
        <v>0</v>
      </c>
      <c r="G7" s="8"/>
      <c r="H7" s="8">
        <v>5000</v>
      </c>
      <c r="I7" s="8"/>
      <c r="J7" s="8"/>
      <c r="K7" s="7" cm="1">
        <f t="array" ref="K7">H7-I7-J7</f>
        <v>5000</v>
      </c>
      <c r="L7" s="9"/>
      <c r="M7" s="9"/>
      <c r="N7" s="9"/>
      <c r="O7" s="9"/>
      <c r="P7" s="10" cm="1">
        <f t="array" ref="P7">M7-N7-O7</f>
        <v>0</v>
      </c>
      <c r="Q7" s="9"/>
      <c r="R7" s="9"/>
      <c r="S7" s="9"/>
      <c r="T7" s="9"/>
      <c r="U7" s="10" cm="1">
        <f t="array" ref="U7">R7-S7-T7</f>
        <v>0</v>
      </c>
      <c r="V7" s="11"/>
      <c r="W7" s="11"/>
    </row>
    <row r="8" spans="1:23" ht="14.4" customHeight="1" thickBot="1">
      <c r="A8" s="5">
        <v>46086</v>
      </c>
      <c r="B8" s="6"/>
      <c r="C8" s="6"/>
      <c r="D8" s="6"/>
      <c r="E8" s="6"/>
      <c r="F8" s="7" cm="1">
        <f t="array" ref="F8">C8-D8-E8</f>
        <v>0</v>
      </c>
      <c r="G8" s="8"/>
      <c r="H8" s="8">
        <v>5000</v>
      </c>
      <c r="I8" s="8"/>
      <c r="J8" s="8"/>
      <c r="K8" s="7" cm="1">
        <f t="array" ref="K8">H8-I8-J8</f>
        <v>5000</v>
      </c>
      <c r="L8" s="9"/>
      <c r="M8" s="9"/>
      <c r="N8" s="9"/>
      <c r="O8" s="9"/>
      <c r="P8" s="10" cm="1">
        <f t="array" ref="P8">M8-N8-O8</f>
        <v>0</v>
      </c>
      <c r="Q8" s="9"/>
      <c r="R8" s="9"/>
      <c r="S8" s="9"/>
      <c r="T8" s="9"/>
      <c r="U8" s="10" cm="1">
        <f t="array" ref="U8">R8-S8-T8</f>
        <v>0</v>
      </c>
      <c r="V8" s="11"/>
      <c r="W8" s="11"/>
    </row>
    <row r="9" spans="1:23" ht="14.4" customHeight="1" thickBot="1">
      <c r="A9" s="5">
        <v>46087</v>
      </c>
      <c r="B9" s="6"/>
      <c r="C9" s="6"/>
      <c r="D9" s="6"/>
      <c r="E9" s="6"/>
      <c r="F9" s="7" cm="1">
        <f t="array" ref="F9">C9-D9-E9</f>
        <v>0</v>
      </c>
      <c r="G9" s="8"/>
      <c r="H9" s="8">
        <v>5000</v>
      </c>
      <c r="I9" s="8"/>
      <c r="J9" s="8"/>
      <c r="K9" s="7" cm="1">
        <f t="array" ref="K9">H9-I9-J9</f>
        <v>5000</v>
      </c>
      <c r="L9" s="9"/>
      <c r="M9" s="9">
        <v>4000</v>
      </c>
      <c r="N9" s="9"/>
      <c r="O9" s="9"/>
      <c r="P9" s="10" cm="1">
        <f t="array" ref="P9">M9-N9-O9</f>
        <v>4000</v>
      </c>
      <c r="Q9" s="9"/>
      <c r="R9" s="9"/>
      <c r="S9" s="9"/>
      <c r="T9" s="9"/>
      <c r="U9" s="10" cm="1">
        <f t="array" ref="U9">R9-S9-T9</f>
        <v>0</v>
      </c>
      <c r="V9" s="11"/>
      <c r="W9" s="11"/>
    </row>
    <row r="10" spans="1:23" ht="14.4" customHeight="1" thickBot="1">
      <c r="A10" s="5">
        <v>46088</v>
      </c>
      <c r="B10" s="6"/>
      <c r="C10" s="6">
        <v>4000</v>
      </c>
      <c r="D10" s="6"/>
      <c r="E10" s="6"/>
      <c r="F10" s="7" cm="1">
        <f t="array" ref="F10">C10-D10-E10</f>
        <v>4000</v>
      </c>
      <c r="G10" s="8"/>
      <c r="H10" s="8">
        <v>4000</v>
      </c>
      <c r="I10" s="8"/>
      <c r="J10" s="8"/>
      <c r="K10" s="7" cm="1">
        <f t="array" ref="K10">H10-I10-J10</f>
        <v>4000</v>
      </c>
      <c r="L10" s="9"/>
      <c r="M10" s="9">
        <v>4000</v>
      </c>
      <c r="N10" s="9"/>
      <c r="O10" s="9"/>
      <c r="P10" s="10" cm="1">
        <f t="array" ref="P10">M10-N10-O10</f>
        <v>4000</v>
      </c>
      <c r="Q10" s="9"/>
      <c r="R10" s="9"/>
      <c r="S10" s="9"/>
      <c r="T10" s="9"/>
      <c r="U10" s="10" cm="1">
        <f t="array" ref="U10">R10-S10-T10</f>
        <v>0</v>
      </c>
      <c r="V10" s="11"/>
      <c r="W10" s="11"/>
    </row>
    <row r="11" spans="1:23" ht="14.4" customHeight="1" thickBot="1">
      <c r="A11" s="5">
        <v>46089</v>
      </c>
      <c r="B11" s="6"/>
      <c r="C11" s="6">
        <v>4000</v>
      </c>
      <c r="D11" s="6"/>
      <c r="E11" s="6"/>
      <c r="F11" s="7" cm="1">
        <f t="array" ref="F11">C11-D11-E11</f>
        <v>4000</v>
      </c>
      <c r="G11" s="8"/>
      <c r="H11" s="8">
        <v>4000</v>
      </c>
      <c r="I11" s="8"/>
      <c r="J11" s="8"/>
      <c r="K11" s="7" cm="1">
        <f t="array" ref="K11">H11-I11-J11</f>
        <v>4000</v>
      </c>
      <c r="L11" s="9"/>
      <c r="M11" s="9">
        <v>4000</v>
      </c>
      <c r="N11" s="9"/>
      <c r="O11" s="9"/>
      <c r="P11" s="10" cm="1">
        <f t="array" ref="P11">M11-N11-O11</f>
        <v>4000</v>
      </c>
      <c r="Q11" s="9"/>
      <c r="R11" s="9"/>
      <c r="S11" s="9"/>
      <c r="T11" s="9"/>
      <c r="U11" s="10" cm="1">
        <f t="array" ref="U11">R11-S11-T11</f>
        <v>0</v>
      </c>
      <c r="V11" s="11"/>
      <c r="W11" s="11"/>
    </row>
    <row r="12" spans="1:23" ht="14.4" customHeight="1" thickBot="1">
      <c r="A12" s="5">
        <v>46090</v>
      </c>
      <c r="B12" s="6"/>
      <c r="C12" s="6">
        <v>4000</v>
      </c>
      <c r="D12" s="6"/>
      <c r="E12" s="6"/>
      <c r="F12" s="7" cm="1">
        <f t="array" ref="F12">C12-D12-E12</f>
        <v>4000</v>
      </c>
      <c r="G12" s="8"/>
      <c r="H12" s="8">
        <v>4000</v>
      </c>
      <c r="I12" s="8"/>
      <c r="J12" s="8"/>
      <c r="K12" s="7" cm="1">
        <f t="array" ref="K12">H12-I12-J12</f>
        <v>4000</v>
      </c>
      <c r="L12" s="9"/>
      <c r="M12" s="9">
        <v>3000</v>
      </c>
      <c r="N12" s="9"/>
      <c r="O12" s="9"/>
      <c r="P12" s="10" cm="1">
        <f t="array" ref="P12">M12-N12-O12</f>
        <v>3000</v>
      </c>
      <c r="Q12" s="9"/>
      <c r="R12" s="9"/>
      <c r="S12" s="9"/>
      <c r="T12" s="9"/>
      <c r="U12" s="10" cm="1">
        <f t="array" ref="U12">R12-S12-T12</f>
        <v>0</v>
      </c>
      <c r="V12" s="11"/>
      <c r="W12" s="11"/>
    </row>
    <row r="13" spans="1:23" ht="14.4" customHeight="1" thickBot="1">
      <c r="A13" s="5">
        <v>46091</v>
      </c>
      <c r="B13" s="6"/>
      <c r="C13" s="6">
        <v>4000</v>
      </c>
      <c r="D13" s="6"/>
      <c r="E13" s="6"/>
      <c r="F13" s="7" cm="1">
        <f t="array" ref="F13">C13-D13-E13</f>
        <v>4000</v>
      </c>
      <c r="G13" s="8"/>
      <c r="H13" s="8">
        <v>4000</v>
      </c>
      <c r="I13" s="8"/>
      <c r="J13" s="8"/>
      <c r="K13" s="7" cm="1">
        <f t="array" ref="K13">H13-I13-J13</f>
        <v>4000</v>
      </c>
      <c r="L13" s="9"/>
      <c r="M13" s="9">
        <v>3000</v>
      </c>
      <c r="N13" s="9"/>
      <c r="O13" s="9"/>
      <c r="P13" s="10" cm="1">
        <f t="array" ref="P13">M13-N13-O13</f>
        <v>3000</v>
      </c>
      <c r="Q13" s="9"/>
      <c r="R13" s="9"/>
      <c r="S13" s="9"/>
      <c r="T13" s="9"/>
      <c r="U13" s="10" cm="1">
        <f t="array" ref="U13">R13-S13-T13</f>
        <v>0</v>
      </c>
      <c r="V13" s="11"/>
      <c r="W13" s="11"/>
    </row>
    <row r="14" spans="1:23" ht="14.4" customHeight="1" thickBot="1">
      <c r="A14" s="5">
        <v>46092</v>
      </c>
      <c r="B14" s="6"/>
      <c r="C14" s="6"/>
      <c r="D14" s="6"/>
      <c r="E14" s="6"/>
      <c r="F14" s="7" cm="1">
        <f t="array" ref="F14">C14-D14-E14</f>
        <v>0</v>
      </c>
      <c r="G14" s="8"/>
      <c r="H14" s="8"/>
      <c r="I14" s="8"/>
      <c r="J14" s="8"/>
      <c r="K14" s="7" cm="1">
        <f t="array" ref="K14">H14-I14-J14</f>
        <v>0</v>
      </c>
      <c r="L14" s="9"/>
      <c r="M14" s="9"/>
      <c r="N14" s="9"/>
      <c r="O14" s="9"/>
      <c r="P14" s="10" cm="1">
        <f t="array" ref="P14">M14-N14-O14</f>
        <v>0</v>
      </c>
      <c r="Q14" s="9"/>
      <c r="R14" s="9"/>
      <c r="S14" s="9"/>
      <c r="T14" s="9"/>
      <c r="U14" s="10" cm="1">
        <f t="array" ref="U14">R14-S14-T14</f>
        <v>0</v>
      </c>
      <c r="V14" s="11"/>
      <c r="W14" s="11"/>
    </row>
    <row r="15" spans="1:23" ht="14.4" customHeight="1" thickBot="1">
      <c r="A15" s="5">
        <v>46093</v>
      </c>
      <c r="B15" s="6"/>
      <c r="C15" s="6"/>
      <c r="D15" s="6"/>
      <c r="E15" s="6"/>
      <c r="F15" s="7" cm="1">
        <f t="array" ref="F15">C15-D15-E15</f>
        <v>0</v>
      </c>
      <c r="G15" s="8"/>
      <c r="H15" s="8"/>
      <c r="I15" s="8"/>
      <c r="J15" s="8"/>
      <c r="K15" s="7" cm="1">
        <f t="array" ref="K15">H15-I15-J15</f>
        <v>0</v>
      </c>
      <c r="L15" s="9"/>
      <c r="M15" s="9"/>
      <c r="N15" s="9"/>
      <c r="O15" s="9"/>
      <c r="P15" s="10" cm="1">
        <f t="array" ref="P15">M15-N15-O15</f>
        <v>0</v>
      </c>
      <c r="Q15" s="9"/>
      <c r="R15" s="9"/>
      <c r="S15" s="9"/>
      <c r="T15" s="9"/>
      <c r="U15" s="10" cm="1">
        <f t="array" ref="U15">R15-S15-T15</f>
        <v>0</v>
      </c>
      <c r="V15" s="11"/>
      <c r="W15" s="11"/>
    </row>
    <row r="16" spans="1:23" ht="14.4" customHeight="1" thickBot="1">
      <c r="A16" s="5">
        <v>46094</v>
      </c>
      <c r="B16" s="6"/>
      <c r="C16" s="6"/>
      <c r="D16" s="6"/>
      <c r="E16" s="6"/>
      <c r="F16" s="7" cm="1">
        <f t="array" ref="F16">C16-D16-E16</f>
        <v>0</v>
      </c>
      <c r="G16" s="8"/>
      <c r="H16" s="8"/>
      <c r="I16" s="8"/>
      <c r="J16" s="8"/>
      <c r="K16" s="7" cm="1">
        <f t="array" ref="K16">H16-I16-J16</f>
        <v>0</v>
      </c>
      <c r="L16" s="9"/>
      <c r="M16" s="9"/>
      <c r="N16" s="9"/>
      <c r="O16" s="9"/>
      <c r="P16" s="10" cm="1">
        <f t="array" ref="P16">M16-N16-O16</f>
        <v>0</v>
      </c>
      <c r="Q16" s="9"/>
      <c r="R16" s="9"/>
      <c r="S16" s="9"/>
      <c r="T16" s="9"/>
      <c r="U16" s="10" cm="1">
        <f t="array" ref="U16">R16-S16-T16</f>
        <v>0</v>
      </c>
      <c r="V16" s="11"/>
      <c r="W16" s="11"/>
    </row>
    <row r="17" spans="1:23" ht="14.4" customHeight="1" thickBot="1">
      <c r="A17" s="5">
        <v>46095</v>
      </c>
      <c r="B17" s="6"/>
      <c r="C17" s="6"/>
      <c r="D17" s="6"/>
      <c r="E17" s="6"/>
      <c r="F17" s="7" cm="1">
        <f t="array" ref="F17">C17-D17-E17</f>
        <v>0</v>
      </c>
      <c r="G17" s="8"/>
      <c r="H17" s="8"/>
      <c r="I17" s="8"/>
      <c r="J17" s="8"/>
      <c r="K17" s="7" cm="1">
        <f t="array" ref="K17">H17-I17-J17</f>
        <v>0</v>
      </c>
      <c r="L17" s="9"/>
      <c r="M17" s="9"/>
      <c r="N17" s="9"/>
      <c r="O17" s="9"/>
      <c r="P17" s="10" cm="1">
        <f t="array" ref="P17">M17-N17-O17</f>
        <v>0</v>
      </c>
      <c r="Q17" s="9"/>
      <c r="R17" s="9"/>
      <c r="S17" s="9"/>
      <c r="T17" s="9"/>
      <c r="U17" s="10" cm="1">
        <f t="array" ref="U17">R17-S17-T17</f>
        <v>0</v>
      </c>
      <c r="V17" s="11"/>
      <c r="W17" s="11"/>
    </row>
    <row r="18" spans="1:23" ht="14.4" customHeight="1" thickBot="1">
      <c r="A18" s="5">
        <v>46096</v>
      </c>
      <c r="B18" s="6"/>
      <c r="C18" s="6"/>
      <c r="D18" s="6"/>
      <c r="E18" s="6"/>
      <c r="F18" s="7" cm="1">
        <f t="array" ref="F18">C18-D18-E18</f>
        <v>0</v>
      </c>
      <c r="G18" s="8"/>
      <c r="H18" s="8"/>
      <c r="I18" s="8"/>
      <c r="J18" s="8"/>
      <c r="K18" s="7" cm="1">
        <f t="array" ref="K18">H18-I18-J18</f>
        <v>0</v>
      </c>
      <c r="L18" s="9"/>
      <c r="M18" s="9"/>
      <c r="N18" s="9"/>
      <c r="O18" s="9"/>
      <c r="P18" s="10" cm="1">
        <f t="array" ref="P18">M18-N18-O18</f>
        <v>0</v>
      </c>
      <c r="Q18" s="9"/>
      <c r="R18" s="9"/>
      <c r="S18" s="9"/>
      <c r="T18" s="9"/>
      <c r="U18" s="10" cm="1">
        <f t="array" ref="U18">R18-S18-T18</f>
        <v>0</v>
      </c>
      <c r="V18" s="11"/>
      <c r="W18" s="11"/>
    </row>
    <row r="19" spans="1:23" ht="14.4" customHeight="1" thickBot="1">
      <c r="A19" s="5">
        <v>46097</v>
      </c>
      <c r="B19" s="6"/>
      <c r="C19" s="6"/>
      <c r="D19" s="6"/>
      <c r="E19" s="6"/>
      <c r="F19" s="7" cm="1">
        <f t="array" ref="F19">C19-D19-E19</f>
        <v>0</v>
      </c>
      <c r="G19" s="8"/>
      <c r="H19" s="8"/>
      <c r="I19" s="8"/>
      <c r="J19" s="8"/>
      <c r="K19" s="7" cm="1">
        <f t="array" ref="K19">H19-I19-J19</f>
        <v>0</v>
      </c>
      <c r="L19" s="9"/>
      <c r="M19" s="9"/>
      <c r="N19" s="9"/>
      <c r="O19" s="9"/>
      <c r="P19" s="10" cm="1">
        <f t="array" ref="P19">M19-N19-O19</f>
        <v>0</v>
      </c>
      <c r="Q19" s="9"/>
      <c r="R19" s="9"/>
      <c r="S19" s="9"/>
      <c r="T19" s="9"/>
      <c r="U19" s="10" cm="1">
        <f t="array" ref="U19">R19-S19-T19</f>
        <v>0</v>
      </c>
      <c r="V19" s="11"/>
      <c r="W19" s="11"/>
    </row>
    <row r="20" spans="1:23" ht="14.4" customHeight="1" thickBot="1">
      <c r="A20" s="5">
        <v>46098</v>
      </c>
      <c r="B20" s="6"/>
      <c r="C20" s="6"/>
      <c r="D20" s="6"/>
      <c r="E20" s="6"/>
      <c r="F20" s="7" cm="1">
        <f t="array" ref="F20">C20-D20-E20</f>
        <v>0</v>
      </c>
      <c r="G20" s="8"/>
      <c r="H20" s="8"/>
      <c r="I20" s="8"/>
      <c r="J20" s="8"/>
      <c r="K20" s="7" cm="1">
        <f t="array" ref="K20">H20-I20-J20</f>
        <v>0</v>
      </c>
      <c r="L20" s="9"/>
      <c r="M20" s="9"/>
      <c r="N20" s="9"/>
      <c r="O20" s="9"/>
      <c r="P20" s="10" cm="1">
        <f t="array" ref="P20">M20-N20-O20</f>
        <v>0</v>
      </c>
      <c r="Q20" s="9"/>
      <c r="R20" s="9"/>
      <c r="S20" s="9"/>
      <c r="T20" s="9"/>
      <c r="U20" s="10" cm="1">
        <f t="array" ref="U20">R20-S20-T20</f>
        <v>0</v>
      </c>
      <c r="V20" s="11"/>
      <c r="W20" s="11"/>
    </row>
    <row r="21" spans="1:23" ht="14.4" customHeight="1" thickBot="1">
      <c r="A21" s="5">
        <v>46099</v>
      </c>
      <c r="B21" s="6"/>
      <c r="C21" s="6"/>
      <c r="D21" s="6"/>
      <c r="E21" s="6"/>
      <c r="F21" s="7" cm="1">
        <f t="array" ref="F21">C21-D21-E21</f>
        <v>0</v>
      </c>
      <c r="G21" s="8"/>
      <c r="H21" s="8"/>
      <c r="I21" s="8"/>
      <c r="J21" s="8"/>
      <c r="K21" s="7" cm="1">
        <f t="array" ref="K21">H21-I21-J21</f>
        <v>0</v>
      </c>
      <c r="L21" s="9"/>
      <c r="M21" s="9"/>
      <c r="N21" s="9"/>
      <c r="O21" s="9"/>
      <c r="P21" s="10" cm="1">
        <f t="array" ref="P21">M21-N21-O21</f>
        <v>0</v>
      </c>
      <c r="Q21" s="9"/>
      <c r="R21" s="9"/>
      <c r="S21" s="9"/>
      <c r="T21" s="9"/>
      <c r="U21" s="10" cm="1">
        <f t="array" ref="U21">R21-S21-T21</f>
        <v>0</v>
      </c>
      <c r="V21" s="11"/>
      <c r="W21" s="11"/>
    </row>
    <row r="22" spans="1:23" ht="14.4" customHeight="1" thickBot="1">
      <c r="A22" s="5">
        <v>46100</v>
      </c>
      <c r="B22" s="6"/>
      <c r="C22" s="6"/>
      <c r="D22" s="6"/>
      <c r="E22" s="6"/>
      <c r="F22" s="7" cm="1">
        <f t="array" ref="F22">C22-D22-E22</f>
        <v>0</v>
      </c>
      <c r="G22" s="8"/>
      <c r="H22" s="8"/>
      <c r="I22" s="8"/>
      <c r="J22" s="8"/>
      <c r="K22" s="7" cm="1">
        <f t="array" ref="K22">H22-I22-J22</f>
        <v>0</v>
      </c>
      <c r="L22" s="9"/>
      <c r="M22" s="9"/>
      <c r="N22" s="9"/>
      <c r="O22" s="9"/>
      <c r="P22" s="10" cm="1">
        <f t="array" ref="P22">M22-N22-O22</f>
        <v>0</v>
      </c>
      <c r="Q22" s="9"/>
      <c r="R22" s="9"/>
      <c r="S22" s="9"/>
      <c r="T22" s="9"/>
      <c r="U22" s="10" cm="1">
        <f t="array" ref="U22">R22-S22-T22</f>
        <v>0</v>
      </c>
      <c r="V22" s="11"/>
      <c r="W22" s="11"/>
    </row>
    <row r="23" spans="1:23" ht="14.4" customHeight="1" thickBot="1">
      <c r="A23" s="5">
        <v>46101</v>
      </c>
      <c r="B23" s="6"/>
      <c r="C23" s="6"/>
      <c r="D23" s="6"/>
      <c r="E23" s="6"/>
      <c r="F23" s="7" cm="1">
        <f t="array" ref="F23">C23-D23-E23</f>
        <v>0</v>
      </c>
      <c r="G23" s="8"/>
      <c r="H23" s="8"/>
      <c r="I23" s="8"/>
      <c r="J23" s="8"/>
      <c r="K23" s="7" cm="1">
        <f t="array" ref="K23">H23-I23-J23</f>
        <v>0</v>
      </c>
      <c r="L23" s="9"/>
      <c r="M23" s="9"/>
      <c r="N23" s="9"/>
      <c r="O23" s="9"/>
      <c r="P23" s="10" cm="1">
        <f t="array" ref="P23">M23-N23-O23</f>
        <v>0</v>
      </c>
      <c r="Q23" s="9"/>
      <c r="R23" s="9"/>
      <c r="S23" s="9"/>
      <c r="T23" s="9"/>
      <c r="U23" s="10" cm="1">
        <f t="array" ref="U23">R23-S23-T23</f>
        <v>0</v>
      </c>
      <c r="V23" s="11"/>
      <c r="W23" s="11"/>
    </row>
    <row r="24" spans="1:23" ht="14.4" customHeight="1" thickBot="1">
      <c r="A24" s="5">
        <v>46102</v>
      </c>
      <c r="B24" s="6"/>
      <c r="C24" s="6"/>
      <c r="D24" s="6"/>
      <c r="E24" s="6"/>
      <c r="F24" s="7" cm="1">
        <f t="array" ref="F24">C24-D24-E24</f>
        <v>0</v>
      </c>
      <c r="G24" s="8"/>
      <c r="H24" s="8"/>
      <c r="I24" s="8"/>
      <c r="J24" s="8"/>
      <c r="K24" s="7" cm="1">
        <f t="array" ref="K24">H24-I24-J24</f>
        <v>0</v>
      </c>
      <c r="L24" s="9"/>
      <c r="M24" s="9"/>
      <c r="N24" s="9"/>
      <c r="O24" s="9"/>
      <c r="P24" s="10" cm="1">
        <f t="array" ref="P24">M24-N24-O24</f>
        <v>0</v>
      </c>
      <c r="Q24" s="9"/>
      <c r="R24" s="9"/>
      <c r="S24" s="9"/>
      <c r="T24" s="9"/>
      <c r="U24" s="10" cm="1">
        <f t="array" ref="U24">R24-S24-T24</f>
        <v>0</v>
      </c>
      <c r="V24" s="11"/>
      <c r="W24" s="11"/>
    </row>
    <row r="25" spans="1:23" ht="14.4" customHeight="1" thickBot="1">
      <c r="A25" s="5">
        <v>46103</v>
      </c>
      <c r="B25" s="6"/>
      <c r="C25" s="6"/>
      <c r="D25" s="6"/>
      <c r="E25" s="6"/>
      <c r="F25" s="7" cm="1">
        <f t="array" ref="F25">C25-D25-E25</f>
        <v>0</v>
      </c>
      <c r="G25" s="8"/>
      <c r="H25" s="8"/>
      <c r="I25" s="8"/>
      <c r="J25" s="8"/>
      <c r="K25" s="7" cm="1">
        <f t="array" ref="K25">H25-I25-J25</f>
        <v>0</v>
      </c>
      <c r="L25" s="9"/>
      <c r="M25" s="9"/>
      <c r="N25" s="9"/>
      <c r="O25" s="9"/>
      <c r="P25" s="10" cm="1">
        <f t="array" ref="P25">M25-N25-O25</f>
        <v>0</v>
      </c>
      <c r="Q25" s="9"/>
      <c r="R25" s="9"/>
      <c r="S25" s="9"/>
      <c r="T25" s="9"/>
      <c r="U25" s="10" cm="1">
        <f t="array" ref="U25">R25-S25-T25</f>
        <v>0</v>
      </c>
      <c r="V25" s="11"/>
      <c r="W25" s="11"/>
    </row>
    <row r="26" spans="1:23" ht="14.4" customHeight="1" thickBot="1">
      <c r="A26" s="5">
        <v>46104</v>
      </c>
      <c r="B26" s="6"/>
      <c r="C26" s="6"/>
      <c r="D26" s="6"/>
      <c r="E26" s="6"/>
      <c r="F26" s="7" cm="1">
        <f t="array" ref="F26">C26-D26-E26</f>
        <v>0</v>
      </c>
      <c r="G26" s="8"/>
      <c r="H26" s="8"/>
      <c r="I26" s="8"/>
      <c r="J26" s="8"/>
      <c r="K26" s="7" cm="1">
        <f t="array" ref="K26">H26-I26-J26</f>
        <v>0</v>
      </c>
      <c r="L26" s="9"/>
      <c r="M26" s="9"/>
      <c r="N26" s="9"/>
      <c r="O26" s="9"/>
      <c r="P26" s="10" cm="1">
        <f t="array" ref="P26">M26-N26-O26</f>
        <v>0</v>
      </c>
      <c r="Q26" s="9"/>
      <c r="R26" s="9"/>
      <c r="S26" s="9"/>
      <c r="T26" s="9"/>
      <c r="U26" s="10" cm="1">
        <f t="array" ref="U26">R26-S26-T26</f>
        <v>0</v>
      </c>
      <c r="V26" s="11"/>
      <c r="W26" s="11"/>
    </row>
    <row r="27" spans="1:23" ht="14.4" customHeight="1" thickBot="1">
      <c r="A27" s="5">
        <v>46105</v>
      </c>
      <c r="B27" s="6"/>
      <c r="C27" s="6"/>
      <c r="D27" s="6"/>
      <c r="E27" s="6"/>
      <c r="F27" s="7" cm="1">
        <f t="array" ref="F27">C27-D27-E27</f>
        <v>0</v>
      </c>
      <c r="G27" s="8"/>
      <c r="H27" s="8"/>
      <c r="I27" s="8"/>
      <c r="J27" s="8"/>
      <c r="K27" s="7" cm="1">
        <f t="array" ref="K27">H27-I27-J27</f>
        <v>0</v>
      </c>
      <c r="L27" s="9"/>
      <c r="M27" s="9"/>
      <c r="N27" s="9"/>
      <c r="O27" s="9"/>
      <c r="P27" s="10" cm="1">
        <f t="array" ref="P27">M27-N27-O27</f>
        <v>0</v>
      </c>
      <c r="Q27" s="9"/>
      <c r="R27" s="9"/>
      <c r="S27" s="9"/>
      <c r="T27" s="9"/>
      <c r="U27" s="10" cm="1">
        <f t="array" ref="U27">R27-S27-T27</f>
        <v>0</v>
      </c>
      <c r="V27" s="11"/>
      <c r="W27" s="11"/>
    </row>
    <row r="28" spans="1:23" ht="14.4" customHeight="1" thickBot="1">
      <c r="A28" s="5">
        <v>46106</v>
      </c>
      <c r="B28" s="6"/>
      <c r="C28" s="6"/>
      <c r="D28" s="6"/>
      <c r="E28" s="6"/>
      <c r="F28" s="7" cm="1">
        <f t="array" ref="F28">C28-D28-E28</f>
        <v>0</v>
      </c>
      <c r="G28" s="8"/>
      <c r="H28" s="8"/>
      <c r="I28" s="8"/>
      <c r="J28" s="8"/>
      <c r="K28" s="7" cm="1">
        <f t="array" ref="K28">H28-I28-J28</f>
        <v>0</v>
      </c>
      <c r="L28" s="9"/>
      <c r="M28" s="9"/>
      <c r="N28" s="9"/>
      <c r="O28" s="9"/>
      <c r="P28" s="10" cm="1">
        <f t="array" ref="P28">M28-N28-O28</f>
        <v>0</v>
      </c>
      <c r="Q28" s="9"/>
      <c r="R28" s="9"/>
      <c r="S28" s="9"/>
      <c r="T28" s="9"/>
      <c r="U28" s="10" cm="1">
        <f t="array" ref="U28">R28-S28-T28</f>
        <v>0</v>
      </c>
      <c r="V28" s="11"/>
      <c r="W28" s="11"/>
    </row>
    <row r="29" spans="1:23" ht="14.4" customHeight="1" thickBot="1">
      <c r="A29" s="5">
        <v>46107</v>
      </c>
      <c r="B29" s="6"/>
      <c r="C29" s="6"/>
      <c r="D29" s="6"/>
      <c r="E29" s="6"/>
      <c r="F29" s="7" cm="1">
        <f t="array" ref="F29">C29-D29-E29</f>
        <v>0</v>
      </c>
      <c r="G29" s="8"/>
      <c r="H29" s="8"/>
      <c r="I29" s="8"/>
      <c r="J29" s="8"/>
      <c r="K29" s="7" cm="1">
        <f t="array" ref="K29">H29-I29-J29</f>
        <v>0</v>
      </c>
      <c r="L29" s="9"/>
      <c r="M29" s="9"/>
      <c r="N29" s="9"/>
      <c r="O29" s="9"/>
      <c r="P29" s="10" cm="1">
        <f t="array" ref="P29">M29-N29-O29</f>
        <v>0</v>
      </c>
      <c r="Q29" s="9"/>
      <c r="R29" s="9"/>
      <c r="S29" s="9"/>
      <c r="T29" s="9"/>
      <c r="U29" s="10" cm="1">
        <f t="array" ref="U29">R29-S29-T29</f>
        <v>0</v>
      </c>
      <c r="V29" s="11"/>
      <c r="W29" s="11"/>
    </row>
    <row r="30" spans="1:23" ht="14.4" customHeight="1" thickBot="1">
      <c r="A30" s="5">
        <v>46108</v>
      </c>
      <c r="B30" s="6"/>
      <c r="C30" s="6"/>
      <c r="D30" s="6"/>
      <c r="E30" s="6"/>
      <c r="F30" s="7" cm="1">
        <f t="array" ref="F30">C30-D30-E30</f>
        <v>0</v>
      </c>
      <c r="G30" s="8"/>
      <c r="H30" s="8"/>
      <c r="I30" s="8"/>
      <c r="J30" s="8"/>
      <c r="K30" s="7" cm="1">
        <f t="array" ref="K30">H30-I30-J30</f>
        <v>0</v>
      </c>
      <c r="L30" s="9"/>
      <c r="M30" s="9"/>
      <c r="N30" s="9"/>
      <c r="O30" s="9"/>
      <c r="P30" s="10" cm="1">
        <f t="array" ref="P30">M30-N30-O30</f>
        <v>0</v>
      </c>
      <c r="Q30" s="9"/>
      <c r="R30" s="9"/>
      <c r="S30" s="9"/>
      <c r="T30" s="9"/>
      <c r="U30" s="10" cm="1">
        <f t="array" ref="U30">R30-S30-T30</f>
        <v>0</v>
      </c>
      <c r="V30" s="11"/>
      <c r="W30" s="11"/>
    </row>
    <row r="31" spans="1:23" ht="14.4" customHeight="1" thickBot="1">
      <c r="A31" s="5">
        <v>46109</v>
      </c>
      <c r="B31" s="6"/>
      <c r="C31" s="6"/>
      <c r="D31" s="6"/>
      <c r="E31" s="6"/>
      <c r="F31" s="7" cm="1">
        <f t="array" ref="F31">C31-D31-E31</f>
        <v>0</v>
      </c>
      <c r="G31" s="8"/>
      <c r="H31" s="8"/>
      <c r="I31" s="8"/>
      <c r="J31" s="8"/>
      <c r="K31" s="7" cm="1">
        <f t="array" ref="K31">H31-I31-J31</f>
        <v>0</v>
      </c>
      <c r="L31" s="9"/>
      <c r="M31" s="9"/>
      <c r="N31" s="9"/>
      <c r="O31" s="9"/>
      <c r="P31" s="10" cm="1">
        <f t="array" ref="P31">M31-N31-O31</f>
        <v>0</v>
      </c>
      <c r="Q31" s="9"/>
      <c r="R31" s="9"/>
      <c r="S31" s="9"/>
      <c r="T31" s="9"/>
      <c r="U31" s="10" cm="1">
        <f t="array" ref="U31">R31-S31-T31</f>
        <v>0</v>
      </c>
      <c r="V31" s="11"/>
      <c r="W31" s="11"/>
    </row>
    <row r="32" spans="1:23" ht="14.4" customHeight="1" thickBot="1">
      <c r="A32" s="5">
        <v>46110</v>
      </c>
      <c r="B32" s="6"/>
      <c r="C32" s="6"/>
      <c r="D32" s="6"/>
      <c r="E32" s="6"/>
      <c r="F32" s="7" cm="1">
        <f t="array" ref="F32">C32-D32-E32</f>
        <v>0</v>
      </c>
      <c r="G32" s="8"/>
      <c r="H32" s="8"/>
      <c r="I32" s="8"/>
      <c r="J32" s="8"/>
      <c r="K32" s="7" cm="1">
        <f t="array" ref="K32">H32-I32-J32</f>
        <v>0</v>
      </c>
      <c r="L32" s="9"/>
      <c r="M32" s="9"/>
      <c r="N32" s="9"/>
      <c r="O32" s="9"/>
      <c r="P32" s="10" cm="1">
        <f t="array" ref="P32">M32-N32-O32</f>
        <v>0</v>
      </c>
      <c r="Q32" s="9"/>
      <c r="R32" s="9"/>
      <c r="S32" s="9"/>
      <c r="T32" s="9"/>
      <c r="U32" s="10" cm="1">
        <f t="array" ref="U32">R32-S32-T32</f>
        <v>0</v>
      </c>
      <c r="V32" s="11"/>
      <c r="W32" s="11"/>
    </row>
    <row r="33" spans="1:23" ht="14.4" customHeight="1" thickBot="1">
      <c r="A33" s="5">
        <v>46111</v>
      </c>
      <c r="B33" s="6"/>
      <c r="C33" s="6"/>
      <c r="D33" s="6"/>
      <c r="E33" s="6"/>
      <c r="F33" s="7" cm="1">
        <f t="array" ref="F33">C33-D33-E33</f>
        <v>0</v>
      </c>
      <c r="G33" s="8"/>
      <c r="H33" s="8"/>
      <c r="I33" s="8"/>
      <c r="J33" s="8"/>
      <c r="K33" s="7" cm="1">
        <f t="array" ref="K33">H33-I33-J33</f>
        <v>0</v>
      </c>
      <c r="L33" s="9"/>
      <c r="M33" s="9"/>
      <c r="N33" s="9"/>
      <c r="O33" s="9"/>
      <c r="P33" s="10" cm="1">
        <f t="array" ref="P33">M33-N33-O33</f>
        <v>0</v>
      </c>
      <c r="Q33" s="9"/>
      <c r="R33" s="9"/>
      <c r="S33" s="9"/>
      <c r="T33" s="9"/>
      <c r="U33" s="10" cm="1">
        <f t="array" ref="U33">R33-S33-T33</f>
        <v>0</v>
      </c>
      <c r="V33" s="11"/>
      <c r="W33" s="11"/>
    </row>
    <row r="34" spans="1:23" ht="14.4" customHeight="1" thickBot="1">
      <c r="A34" s="5">
        <v>46112</v>
      </c>
      <c r="B34" s="6"/>
      <c r="C34" s="6"/>
      <c r="D34" s="6"/>
      <c r="E34" s="6"/>
      <c r="F34" s="7" cm="1">
        <f t="array" ref="F34">C34-D34-E34</f>
        <v>0</v>
      </c>
      <c r="G34" s="8"/>
      <c r="H34" s="8"/>
      <c r="I34" s="8"/>
      <c r="J34" s="8"/>
      <c r="K34" s="7" cm="1">
        <f t="array" ref="K34">H34-I34-J34</f>
        <v>0</v>
      </c>
      <c r="L34" s="9"/>
      <c r="M34" s="9"/>
      <c r="N34" s="9"/>
      <c r="O34" s="9"/>
      <c r="P34" s="10" cm="1">
        <f t="array" ref="P34">M34-N34-O34</f>
        <v>0</v>
      </c>
      <c r="Q34" s="9"/>
      <c r="R34" s="9"/>
      <c r="S34" s="9"/>
      <c r="T34" s="9"/>
      <c r="U34" s="10" cm="1">
        <f t="array" ref="U34">R34-S34-T34</f>
        <v>0</v>
      </c>
      <c r="V34" s="11"/>
      <c r="W34" s="11"/>
    </row>
    <row r="35" spans="1:23" ht="14.4" customHeight="1" thickBot="1">
      <c r="A35" s="12" t="s">
        <v>12</v>
      </c>
      <c r="B35" s="13">
        <v>1134100</v>
      </c>
      <c r="C35" s="13" cm="1">
        <f t="array" ref="C35">SUM(C4:C34)</f>
        <v>16000</v>
      </c>
      <c r="D35" s="13" cm="1">
        <f t="array" ref="D35">SUM(D4:D34)</f>
        <v>0</v>
      </c>
      <c r="E35" s="13" cm="1">
        <f t="array" ref="E35">SUM(E4:E34)</f>
        <v>0</v>
      </c>
      <c r="F35" s="14" cm="1">
        <f t="array" ref="F35">C35-D35-E35</f>
        <v>16000</v>
      </c>
      <c r="G35" s="15">
        <v>1532850</v>
      </c>
      <c r="H35" s="15" cm="1">
        <f t="array" ref="H35">SUM(H4:H34)</f>
        <v>36000</v>
      </c>
      <c r="I35" s="15" cm="1">
        <f t="array" ref="I35">SUM(I4:I34)</f>
        <v>0</v>
      </c>
      <c r="J35" s="15" cm="1">
        <f t="array" ref="J35">SUM(J4:J34)</f>
        <v>0</v>
      </c>
      <c r="K35" s="14" cm="1">
        <f t="array" ref="K35">H35-I35-J35</f>
        <v>36000</v>
      </c>
      <c r="L35" s="16">
        <v>982800</v>
      </c>
      <c r="M35" s="16" cm="1">
        <f t="array" ref="M35">SUM(M4:M34)</f>
        <v>27000</v>
      </c>
      <c r="N35" s="16" cm="1">
        <f t="array" ref="N35">SUM(N4:N34)</f>
        <v>0</v>
      </c>
      <c r="O35" s="16" cm="1">
        <f t="array" ref="O35">SUM(O4:O34)</f>
        <v>0</v>
      </c>
      <c r="P35" s="17" cm="1">
        <f t="array" ref="P35">M35-N35-O35</f>
        <v>27000</v>
      </c>
      <c r="Q35" s="16"/>
      <c r="R35" s="16">
        <f>SUM(R4:R34)</f>
        <v>0</v>
      </c>
      <c r="S35" s="16" cm="1">
        <f t="array" ref="S35">SUM(S4:S34)</f>
        <v>0</v>
      </c>
      <c r="T35" s="16" cm="1">
        <f t="array" ref="T35">SUM(T4:T34)</f>
        <v>0</v>
      </c>
      <c r="U35" s="17" cm="1">
        <f t="array" ref="U35">R35-S35-T35</f>
        <v>0</v>
      </c>
      <c r="V35" s="11" cm="1">
        <f t="array" ref="V35">SUM(F35,K35,P35)</f>
        <v>79000</v>
      </c>
      <c r="W35" s="11">
        <v>36140</v>
      </c>
    </row>
  </sheetData>
  <mergeCells count="23">
    <mergeCell ref="A1:A3"/>
    <mergeCell ref="V1:V3"/>
    <mergeCell ref="Q1:U1"/>
    <mergeCell ref="Q2:Q3"/>
    <mergeCell ref="R2:R3"/>
    <mergeCell ref="S2:T2"/>
    <mergeCell ref="U2:U3"/>
    <mergeCell ref="W1:W3"/>
    <mergeCell ref="B2:B3"/>
    <mergeCell ref="C2:C3"/>
    <mergeCell ref="D2:E2"/>
    <mergeCell ref="F2:F3"/>
    <mergeCell ref="G2:G3"/>
    <mergeCell ref="H2:H3"/>
    <mergeCell ref="I2:J2"/>
    <mergeCell ref="K2:K3"/>
    <mergeCell ref="L2:L3"/>
    <mergeCell ref="M2:M3"/>
    <mergeCell ref="N2:O2"/>
    <mergeCell ref="P2:P3"/>
    <mergeCell ref="B1:F1"/>
    <mergeCell ref="G1:K1"/>
    <mergeCell ref="L1:P1"/>
  </mergeCells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4"/>
  <sheetViews>
    <sheetView showGridLines="0" topLeftCell="D1" workbookViewId="0">
      <selection activeCell="Q34" sqref="Q34"/>
    </sheetView>
  </sheetViews>
  <sheetFormatPr defaultColWidth="8.88671875" defaultRowHeight="14.4" customHeight="1"/>
  <cols>
    <col min="1" max="1" width="31.44140625" style="23" customWidth="1"/>
    <col min="2" max="2" width="14.21875" style="23" customWidth="1"/>
    <col min="3" max="3" width="12.21875" style="23" customWidth="1"/>
    <col min="4" max="4" width="13" style="23" customWidth="1"/>
    <col min="5" max="5" width="13.21875" style="23" customWidth="1"/>
    <col min="6" max="6" width="12.88671875" style="23" customWidth="1"/>
    <col min="7" max="8" width="12.21875" style="23" customWidth="1"/>
    <col min="9" max="9" width="12.6640625" style="23" customWidth="1"/>
    <col min="10" max="10" width="12.21875" style="23" customWidth="1"/>
    <col min="11" max="11" width="23.88671875" style="23" customWidth="1"/>
    <col min="12" max="12" width="21.6640625" style="23" customWidth="1"/>
    <col min="13" max="13" width="13.44140625" style="23" customWidth="1"/>
    <col min="14" max="15" width="12.88671875" style="23" customWidth="1"/>
    <col min="16" max="16" width="13.88671875" style="23" customWidth="1"/>
    <col min="17" max="18" width="18.5546875" style="23" customWidth="1"/>
    <col min="19" max="19" width="8.88671875" style="23" customWidth="1"/>
    <col min="20" max="20" width="8.88671875" style="23"/>
    <col min="21" max="21" width="17.109375" style="23" customWidth="1"/>
    <col min="22" max="22" width="11.88671875" style="23" customWidth="1"/>
    <col min="23" max="23" width="13.21875" style="23" customWidth="1"/>
    <col min="24" max="16384" width="8.88671875" style="23"/>
  </cols>
  <sheetData>
    <row r="1" spans="1:23" ht="15" customHeight="1" thickBot="1">
      <c r="A1" s="47" t="s">
        <v>0</v>
      </c>
      <c r="B1" s="51" t="s">
        <v>1</v>
      </c>
      <c r="C1" s="52"/>
      <c r="D1" s="52"/>
      <c r="E1" s="52"/>
      <c r="F1" s="53"/>
      <c r="G1" s="60" t="s">
        <v>2</v>
      </c>
      <c r="H1" s="66"/>
      <c r="I1" s="66"/>
      <c r="J1" s="66"/>
      <c r="K1" s="61"/>
      <c r="L1" s="39" t="s">
        <v>3</v>
      </c>
      <c r="M1" s="65"/>
      <c r="N1" s="65"/>
      <c r="O1" s="65"/>
      <c r="P1" s="40"/>
      <c r="Q1" s="39" t="s">
        <v>14</v>
      </c>
      <c r="R1" s="65"/>
      <c r="S1" s="65"/>
      <c r="T1" s="65"/>
      <c r="U1" s="40"/>
      <c r="V1" s="44" t="s">
        <v>4</v>
      </c>
      <c r="W1" s="41" t="s">
        <v>5</v>
      </c>
    </row>
    <row r="2" spans="1:23" ht="15" customHeight="1" thickBot="1">
      <c r="A2" s="48"/>
      <c r="B2" s="49" t="s">
        <v>6</v>
      </c>
      <c r="C2" s="54" t="s">
        <v>7</v>
      </c>
      <c r="D2" s="51" t="s">
        <v>8</v>
      </c>
      <c r="E2" s="53"/>
      <c r="F2" s="33" t="s">
        <v>9</v>
      </c>
      <c r="G2" s="56" t="s">
        <v>6</v>
      </c>
      <c r="H2" s="58" t="s">
        <v>7</v>
      </c>
      <c r="I2" s="60" t="s">
        <v>8</v>
      </c>
      <c r="J2" s="61"/>
      <c r="K2" s="33" t="s">
        <v>9</v>
      </c>
      <c r="L2" s="35" t="s">
        <v>6</v>
      </c>
      <c r="M2" s="37" t="s">
        <v>7</v>
      </c>
      <c r="N2" s="39" t="s">
        <v>8</v>
      </c>
      <c r="O2" s="40"/>
      <c r="P2" s="33" t="s">
        <v>9</v>
      </c>
      <c r="Q2" s="35" t="s">
        <v>6</v>
      </c>
      <c r="R2" s="37" t="s">
        <v>7</v>
      </c>
      <c r="S2" s="39" t="s">
        <v>8</v>
      </c>
      <c r="T2" s="40"/>
      <c r="U2" s="33" t="s">
        <v>9</v>
      </c>
      <c r="V2" s="71"/>
      <c r="W2" s="69"/>
    </row>
    <row r="3" spans="1:23" ht="27" customHeight="1" thickBot="1">
      <c r="A3" s="48"/>
      <c r="B3" s="50"/>
      <c r="C3" s="55"/>
      <c r="D3" s="2" t="s">
        <v>10</v>
      </c>
      <c r="E3" s="2" t="s">
        <v>11</v>
      </c>
      <c r="F3" s="34"/>
      <c r="G3" s="57"/>
      <c r="H3" s="59"/>
      <c r="I3" s="3" t="s">
        <v>10</v>
      </c>
      <c r="J3" s="3" t="s">
        <v>11</v>
      </c>
      <c r="K3" s="34"/>
      <c r="L3" s="36"/>
      <c r="M3" s="38"/>
      <c r="N3" s="4" t="s">
        <v>10</v>
      </c>
      <c r="O3" s="4" t="s">
        <v>11</v>
      </c>
      <c r="P3" s="34"/>
      <c r="Q3" s="36"/>
      <c r="R3" s="38"/>
      <c r="S3" s="4" t="s">
        <v>10</v>
      </c>
      <c r="T3" s="4" t="s">
        <v>11</v>
      </c>
      <c r="U3" s="34"/>
      <c r="V3" s="72"/>
      <c r="W3" s="70"/>
    </row>
    <row r="4" spans="1:23" ht="15" customHeight="1" thickBot="1">
      <c r="A4" s="5">
        <v>46113</v>
      </c>
      <c r="B4" s="6"/>
      <c r="C4" s="6"/>
      <c r="D4" s="6"/>
      <c r="E4" s="6"/>
      <c r="F4" s="7" cm="1">
        <f t="array" ref="F4">C4-D4-E4</f>
        <v>0</v>
      </c>
      <c r="G4" s="8"/>
      <c r="H4" s="8"/>
      <c r="I4" s="8"/>
      <c r="J4" s="8"/>
      <c r="K4" s="7" cm="1">
        <f t="array" ref="K4">H4-I4-J4</f>
        <v>0</v>
      </c>
      <c r="L4" s="9"/>
      <c r="M4" s="9"/>
      <c r="N4" s="9"/>
      <c r="O4" s="9"/>
      <c r="P4" s="10" cm="1">
        <f t="array" ref="P4">M4-N4-O4</f>
        <v>0</v>
      </c>
      <c r="Q4" s="9"/>
      <c r="R4" s="9"/>
      <c r="S4" s="9"/>
      <c r="T4" s="9"/>
      <c r="U4" s="10" cm="1">
        <f t="array" ref="U4">R4-S4-T4</f>
        <v>0</v>
      </c>
      <c r="V4" s="11"/>
      <c r="W4" s="11"/>
    </row>
    <row r="5" spans="1:23" ht="15" customHeight="1" thickBot="1">
      <c r="A5" s="5">
        <v>46114</v>
      </c>
      <c r="B5" s="6"/>
      <c r="C5" s="6"/>
      <c r="D5" s="6"/>
      <c r="E5" s="6"/>
      <c r="F5" s="7" cm="1">
        <f t="array" ref="F5">C5-D5-E5</f>
        <v>0</v>
      </c>
      <c r="G5" s="8"/>
      <c r="H5" s="8"/>
      <c r="I5" s="8"/>
      <c r="J5" s="8"/>
      <c r="K5" s="7" cm="1">
        <f t="array" ref="K5">H5-I5-J5</f>
        <v>0</v>
      </c>
      <c r="L5" s="9"/>
      <c r="M5" s="9"/>
      <c r="N5" s="9"/>
      <c r="O5" s="9"/>
      <c r="P5" s="10" cm="1">
        <f t="array" ref="P5">M5-N5-O5</f>
        <v>0</v>
      </c>
      <c r="Q5" s="9"/>
      <c r="R5" s="9"/>
      <c r="S5" s="9"/>
      <c r="T5" s="9"/>
      <c r="U5" s="10" cm="1">
        <f t="array" ref="U5">R5-S5-T5</f>
        <v>0</v>
      </c>
      <c r="V5" s="11"/>
      <c r="W5" s="11"/>
    </row>
    <row r="6" spans="1:23" ht="15" customHeight="1" thickBot="1">
      <c r="A6" s="5">
        <v>46115</v>
      </c>
      <c r="B6" s="6"/>
      <c r="C6" s="6"/>
      <c r="D6" s="6"/>
      <c r="E6" s="6"/>
      <c r="F6" s="7" cm="1">
        <f t="array" ref="F6">C6-D6-E6</f>
        <v>0</v>
      </c>
      <c r="G6" s="8"/>
      <c r="H6" s="8"/>
      <c r="I6" s="8"/>
      <c r="J6" s="8"/>
      <c r="K6" s="7" cm="1">
        <f t="array" ref="K6">H6-I6-J6</f>
        <v>0</v>
      </c>
      <c r="L6" s="9"/>
      <c r="M6" s="9"/>
      <c r="N6" s="9"/>
      <c r="O6" s="9"/>
      <c r="P6" s="10" cm="1">
        <f t="array" ref="P6">M6-N6-O6</f>
        <v>0</v>
      </c>
      <c r="Q6" s="9"/>
      <c r="R6" s="9"/>
      <c r="S6" s="9"/>
      <c r="T6" s="9"/>
      <c r="U6" s="10" cm="1">
        <f t="array" ref="U6">R6-S6-T6</f>
        <v>0</v>
      </c>
      <c r="V6" s="11"/>
      <c r="W6" s="11"/>
    </row>
    <row r="7" spans="1:23" ht="15" customHeight="1" thickBot="1">
      <c r="A7" s="5">
        <v>46116</v>
      </c>
      <c r="B7" s="6"/>
      <c r="C7" s="6"/>
      <c r="D7" s="6"/>
      <c r="E7" s="6"/>
      <c r="F7" s="7" cm="1">
        <f t="array" ref="F7">C7-D7-E7</f>
        <v>0</v>
      </c>
      <c r="G7" s="8"/>
      <c r="H7" s="8"/>
      <c r="I7" s="8"/>
      <c r="J7" s="8"/>
      <c r="K7" s="7" cm="1">
        <f t="array" ref="K7">H7-I7-J7</f>
        <v>0</v>
      </c>
      <c r="L7" s="9"/>
      <c r="M7" s="9"/>
      <c r="N7" s="9"/>
      <c r="O7" s="9"/>
      <c r="P7" s="10" cm="1">
        <f t="array" ref="P7">M7-N7-O7</f>
        <v>0</v>
      </c>
      <c r="Q7" s="9"/>
      <c r="R7" s="9"/>
      <c r="S7" s="9"/>
      <c r="T7" s="9"/>
      <c r="U7" s="10" cm="1">
        <f t="array" ref="U7">R7-S7-T7</f>
        <v>0</v>
      </c>
      <c r="V7" s="11"/>
      <c r="W7" s="11"/>
    </row>
    <row r="8" spans="1:23" ht="15" customHeight="1" thickBot="1">
      <c r="A8" s="5">
        <v>46117</v>
      </c>
      <c r="B8" s="6"/>
      <c r="C8" s="6"/>
      <c r="D8" s="6"/>
      <c r="E8" s="6"/>
      <c r="F8" s="7" cm="1">
        <f t="array" ref="F8">C8-D8-E8</f>
        <v>0</v>
      </c>
      <c r="G8" s="8"/>
      <c r="H8" s="8"/>
      <c r="I8" s="8"/>
      <c r="J8" s="8"/>
      <c r="K8" s="7" cm="1">
        <f t="array" ref="K8">H8-I8-J8</f>
        <v>0</v>
      </c>
      <c r="L8" s="9"/>
      <c r="M8" s="9"/>
      <c r="N8" s="9"/>
      <c r="O8" s="9"/>
      <c r="P8" s="10" cm="1">
        <f t="array" ref="P8">M8-N8-O8</f>
        <v>0</v>
      </c>
      <c r="Q8" s="9"/>
      <c r="R8" s="9"/>
      <c r="S8" s="9"/>
      <c r="T8" s="9"/>
      <c r="U8" s="10" cm="1">
        <f t="array" ref="U8">R8-S8-T8</f>
        <v>0</v>
      </c>
      <c r="V8" s="11"/>
      <c r="W8" s="11"/>
    </row>
    <row r="9" spans="1:23" ht="15" customHeight="1" thickBot="1">
      <c r="A9" s="5">
        <v>46118</v>
      </c>
      <c r="B9" s="6"/>
      <c r="C9" s="6"/>
      <c r="D9" s="6"/>
      <c r="E9" s="6"/>
      <c r="F9" s="7" cm="1">
        <f t="array" ref="F9">C9-D9-E9</f>
        <v>0</v>
      </c>
      <c r="G9" s="8"/>
      <c r="H9" s="8"/>
      <c r="I9" s="8"/>
      <c r="J9" s="8"/>
      <c r="K9" s="7" cm="1">
        <f t="array" ref="K9">H9-I9-J9</f>
        <v>0</v>
      </c>
      <c r="L9" s="9"/>
      <c r="M9" s="9"/>
      <c r="N9" s="9"/>
      <c r="O9" s="9"/>
      <c r="P9" s="10" cm="1">
        <f t="array" ref="P9">M9-N9-O9</f>
        <v>0</v>
      </c>
      <c r="Q9" s="9"/>
      <c r="R9" s="9"/>
      <c r="S9" s="9"/>
      <c r="T9" s="9"/>
      <c r="U9" s="10" cm="1">
        <f t="array" ref="U9">R9-S9-T9</f>
        <v>0</v>
      </c>
      <c r="V9" s="11"/>
      <c r="W9" s="11"/>
    </row>
    <row r="10" spans="1:23" ht="15" customHeight="1" thickBot="1">
      <c r="A10" s="5">
        <v>46119</v>
      </c>
      <c r="B10" s="6"/>
      <c r="C10" s="6"/>
      <c r="D10" s="6"/>
      <c r="E10" s="6"/>
      <c r="F10" s="7" cm="1">
        <f t="array" ref="F10">C10-D10-E10</f>
        <v>0</v>
      </c>
      <c r="G10" s="8"/>
      <c r="H10" s="8"/>
      <c r="I10" s="8"/>
      <c r="J10" s="8"/>
      <c r="K10" s="7" cm="1">
        <f t="array" ref="K10">H10-I10-J10</f>
        <v>0</v>
      </c>
      <c r="L10" s="9"/>
      <c r="M10" s="9"/>
      <c r="N10" s="9"/>
      <c r="O10" s="9"/>
      <c r="P10" s="10" cm="1">
        <f t="array" ref="P10">M10-N10-O10</f>
        <v>0</v>
      </c>
      <c r="Q10" s="9"/>
      <c r="R10" s="9"/>
      <c r="S10" s="9"/>
      <c r="T10" s="9"/>
      <c r="U10" s="10" cm="1">
        <f t="array" ref="U10">R10-S10-T10</f>
        <v>0</v>
      </c>
      <c r="V10" s="11"/>
      <c r="W10" s="11"/>
    </row>
    <row r="11" spans="1:23" ht="15" customHeight="1" thickBot="1">
      <c r="A11" s="5">
        <v>46120</v>
      </c>
      <c r="B11" s="6"/>
      <c r="C11" s="6"/>
      <c r="D11" s="6"/>
      <c r="E11" s="6"/>
      <c r="F11" s="7" cm="1">
        <f t="array" ref="F11">C11-D11-E11</f>
        <v>0</v>
      </c>
      <c r="G11" s="8"/>
      <c r="H11" s="8"/>
      <c r="I11" s="8"/>
      <c r="J11" s="8"/>
      <c r="K11" s="7" cm="1">
        <f t="array" ref="K11">H11-I11-J11</f>
        <v>0</v>
      </c>
      <c r="L11" s="9"/>
      <c r="M11" s="9"/>
      <c r="N11" s="9"/>
      <c r="O11" s="9"/>
      <c r="P11" s="10" cm="1">
        <f t="array" ref="P11">M11-N11-O11</f>
        <v>0</v>
      </c>
      <c r="Q11" s="9"/>
      <c r="R11" s="9"/>
      <c r="S11" s="9"/>
      <c r="T11" s="9"/>
      <c r="U11" s="10" cm="1">
        <f t="array" ref="U11">R11-S11-T11</f>
        <v>0</v>
      </c>
      <c r="V11" s="11"/>
      <c r="W11" s="11"/>
    </row>
    <row r="12" spans="1:23" ht="15" customHeight="1" thickBot="1">
      <c r="A12" s="5">
        <v>46121</v>
      </c>
      <c r="B12" s="6"/>
      <c r="C12" s="6"/>
      <c r="D12" s="6"/>
      <c r="E12" s="6"/>
      <c r="F12" s="7" cm="1">
        <f t="array" ref="F12">C12-D12-E12</f>
        <v>0</v>
      </c>
      <c r="G12" s="8"/>
      <c r="H12" s="8"/>
      <c r="I12" s="8"/>
      <c r="J12" s="8"/>
      <c r="K12" s="7" cm="1">
        <f t="array" ref="K12">H12-I12-J12</f>
        <v>0</v>
      </c>
      <c r="L12" s="9"/>
      <c r="M12" s="9"/>
      <c r="N12" s="9"/>
      <c r="O12" s="9"/>
      <c r="P12" s="10" cm="1">
        <f t="array" ref="P12">M12-N12-O12</f>
        <v>0</v>
      </c>
      <c r="Q12" s="9"/>
      <c r="R12" s="9"/>
      <c r="S12" s="9"/>
      <c r="T12" s="9"/>
      <c r="U12" s="10" cm="1">
        <f t="array" ref="U12">R12-S12-T12</f>
        <v>0</v>
      </c>
      <c r="V12" s="11"/>
      <c r="W12" s="11"/>
    </row>
    <row r="13" spans="1:23" ht="15" customHeight="1" thickBot="1">
      <c r="A13" s="5">
        <v>46122</v>
      </c>
      <c r="B13" s="6"/>
      <c r="C13" s="6"/>
      <c r="D13" s="6"/>
      <c r="E13" s="6"/>
      <c r="F13" s="7" cm="1">
        <f t="array" ref="F13">C13-D13-E13</f>
        <v>0</v>
      </c>
      <c r="G13" s="8"/>
      <c r="H13" s="8"/>
      <c r="I13" s="8"/>
      <c r="J13" s="8"/>
      <c r="K13" s="7" cm="1">
        <f t="array" ref="K13">H13-I13-J13</f>
        <v>0</v>
      </c>
      <c r="L13" s="9"/>
      <c r="M13" s="9"/>
      <c r="N13" s="9"/>
      <c r="O13" s="9"/>
      <c r="P13" s="10" cm="1">
        <f t="array" ref="P13">M13-N13-O13</f>
        <v>0</v>
      </c>
      <c r="Q13" s="9"/>
      <c r="R13" s="9"/>
      <c r="S13" s="9"/>
      <c r="T13" s="9"/>
      <c r="U13" s="10" cm="1">
        <f t="array" ref="U13">R13-S13-T13</f>
        <v>0</v>
      </c>
      <c r="V13" s="11"/>
      <c r="W13" s="11"/>
    </row>
    <row r="14" spans="1:23" ht="15" customHeight="1" thickBot="1">
      <c r="A14" s="5">
        <v>46123</v>
      </c>
      <c r="B14" s="6"/>
      <c r="C14" s="6"/>
      <c r="D14" s="6"/>
      <c r="E14" s="6"/>
      <c r="F14" s="7" cm="1">
        <f t="array" ref="F14">C14-D14-E14</f>
        <v>0</v>
      </c>
      <c r="G14" s="8"/>
      <c r="H14" s="8"/>
      <c r="I14" s="8"/>
      <c r="J14" s="8"/>
      <c r="K14" s="7" cm="1">
        <f t="array" ref="K14">H14-I14-J14</f>
        <v>0</v>
      </c>
      <c r="L14" s="9"/>
      <c r="M14" s="9"/>
      <c r="N14" s="9"/>
      <c r="O14" s="9"/>
      <c r="P14" s="10" cm="1">
        <f t="array" ref="P14">M14-N14-O14</f>
        <v>0</v>
      </c>
      <c r="Q14" s="9"/>
      <c r="R14" s="9"/>
      <c r="S14" s="9"/>
      <c r="T14" s="9"/>
      <c r="U14" s="10" cm="1">
        <f t="array" ref="U14">R14-S14-T14</f>
        <v>0</v>
      </c>
      <c r="V14" s="11"/>
      <c r="W14" s="11"/>
    </row>
    <row r="15" spans="1:23" ht="15" customHeight="1" thickBot="1">
      <c r="A15" s="5">
        <v>46124</v>
      </c>
      <c r="B15" s="6"/>
      <c r="C15" s="6"/>
      <c r="D15" s="6"/>
      <c r="E15" s="6"/>
      <c r="F15" s="7" cm="1">
        <f t="array" ref="F15">C15-D15-E15</f>
        <v>0</v>
      </c>
      <c r="G15" s="8"/>
      <c r="H15" s="8"/>
      <c r="I15" s="8"/>
      <c r="J15" s="8"/>
      <c r="K15" s="7" cm="1">
        <f t="array" ref="K15">H15-I15-J15</f>
        <v>0</v>
      </c>
      <c r="L15" s="9"/>
      <c r="M15" s="9"/>
      <c r="N15" s="9"/>
      <c r="O15" s="9"/>
      <c r="P15" s="10" cm="1">
        <f t="array" ref="P15">M15-N15-O15</f>
        <v>0</v>
      </c>
      <c r="Q15" s="9"/>
      <c r="R15" s="9"/>
      <c r="S15" s="9"/>
      <c r="T15" s="9"/>
      <c r="U15" s="10" cm="1">
        <f t="array" ref="U15">R15-S15-T15</f>
        <v>0</v>
      </c>
      <c r="V15" s="11"/>
      <c r="W15" s="11"/>
    </row>
    <row r="16" spans="1:23" ht="15" customHeight="1" thickBot="1">
      <c r="A16" s="5">
        <v>46125</v>
      </c>
      <c r="B16" s="6"/>
      <c r="C16" s="6"/>
      <c r="D16" s="6"/>
      <c r="E16" s="6"/>
      <c r="F16" s="7" cm="1">
        <f t="array" ref="F16">C16-D16-E16</f>
        <v>0</v>
      </c>
      <c r="G16" s="8"/>
      <c r="H16" s="8"/>
      <c r="I16" s="8"/>
      <c r="J16" s="8"/>
      <c r="K16" s="7" cm="1">
        <f t="array" ref="K16">H16-I16-J16</f>
        <v>0</v>
      </c>
      <c r="L16" s="9"/>
      <c r="M16" s="9"/>
      <c r="N16" s="9"/>
      <c r="O16" s="9"/>
      <c r="P16" s="10" cm="1">
        <f t="array" ref="P16">M16-N16-O16</f>
        <v>0</v>
      </c>
      <c r="Q16" s="9"/>
      <c r="R16" s="9"/>
      <c r="S16" s="9"/>
      <c r="T16" s="9"/>
      <c r="U16" s="10" cm="1">
        <f t="array" ref="U16">R16-S16-T16</f>
        <v>0</v>
      </c>
      <c r="V16" s="11"/>
      <c r="W16" s="11"/>
    </row>
    <row r="17" spans="1:23" ht="15" customHeight="1" thickBot="1">
      <c r="A17" s="5">
        <v>46126</v>
      </c>
      <c r="B17" s="6"/>
      <c r="C17" s="6"/>
      <c r="D17" s="6"/>
      <c r="E17" s="6"/>
      <c r="F17" s="7" cm="1">
        <f t="array" ref="F17">C17-D17-E17</f>
        <v>0</v>
      </c>
      <c r="G17" s="8"/>
      <c r="H17" s="8"/>
      <c r="I17" s="8"/>
      <c r="J17" s="8"/>
      <c r="K17" s="7" cm="1">
        <f t="array" ref="K17">H17-I17-J17</f>
        <v>0</v>
      </c>
      <c r="L17" s="9"/>
      <c r="M17" s="9"/>
      <c r="N17" s="9"/>
      <c r="O17" s="9"/>
      <c r="P17" s="10" cm="1">
        <f t="array" ref="P17">M17-N17-O17</f>
        <v>0</v>
      </c>
      <c r="Q17" s="9"/>
      <c r="R17" s="9"/>
      <c r="S17" s="9"/>
      <c r="T17" s="9"/>
      <c r="U17" s="10" cm="1">
        <f t="array" ref="U17">R17-S17-T17</f>
        <v>0</v>
      </c>
      <c r="V17" s="11"/>
      <c r="W17" s="11"/>
    </row>
    <row r="18" spans="1:23" ht="15" customHeight="1" thickBot="1">
      <c r="A18" s="5">
        <v>46127</v>
      </c>
      <c r="B18" s="6"/>
      <c r="C18" s="6"/>
      <c r="D18" s="6"/>
      <c r="E18" s="6"/>
      <c r="F18" s="7" cm="1">
        <f t="array" ref="F18">C18-D18-E18</f>
        <v>0</v>
      </c>
      <c r="G18" s="8"/>
      <c r="H18" s="8"/>
      <c r="I18" s="8"/>
      <c r="J18" s="8"/>
      <c r="K18" s="7" cm="1">
        <f t="array" ref="K18">H18-I18-J18</f>
        <v>0</v>
      </c>
      <c r="L18" s="9"/>
      <c r="M18" s="9"/>
      <c r="N18" s="9"/>
      <c r="O18" s="9"/>
      <c r="P18" s="10" cm="1">
        <f t="array" ref="P18">M18-N18-O18</f>
        <v>0</v>
      </c>
      <c r="Q18" s="9"/>
      <c r="R18" s="9"/>
      <c r="S18" s="9"/>
      <c r="T18" s="9"/>
      <c r="U18" s="10" cm="1">
        <f t="array" ref="U18">R18-S18-T18</f>
        <v>0</v>
      </c>
      <c r="V18" s="11"/>
      <c r="W18" s="11"/>
    </row>
    <row r="19" spans="1:23" ht="15" customHeight="1" thickBot="1">
      <c r="A19" s="5">
        <v>46128</v>
      </c>
      <c r="B19" s="6"/>
      <c r="C19" s="6"/>
      <c r="D19" s="6"/>
      <c r="E19" s="6"/>
      <c r="F19" s="7" cm="1">
        <f t="array" ref="F19">C19-D19-E19</f>
        <v>0</v>
      </c>
      <c r="G19" s="8"/>
      <c r="H19" s="8"/>
      <c r="I19" s="8"/>
      <c r="J19" s="8"/>
      <c r="K19" s="7" cm="1">
        <f t="array" ref="K19">H19-I19-J19</f>
        <v>0</v>
      </c>
      <c r="L19" s="9"/>
      <c r="M19" s="9"/>
      <c r="N19" s="9"/>
      <c r="O19" s="9"/>
      <c r="P19" s="10" cm="1">
        <f t="array" ref="P19">M19-N19-O19</f>
        <v>0</v>
      </c>
      <c r="Q19" s="9"/>
      <c r="R19" s="9"/>
      <c r="S19" s="9"/>
      <c r="T19" s="9"/>
      <c r="U19" s="10" cm="1">
        <f t="array" ref="U19">R19-S19-T19</f>
        <v>0</v>
      </c>
      <c r="V19" s="11"/>
      <c r="W19" s="11"/>
    </row>
    <row r="20" spans="1:23" ht="15" customHeight="1" thickBot="1">
      <c r="A20" s="5">
        <v>46129</v>
      </c>
      <c r="B20" s="6"/>
      <c r="C20" s="6"/>
      <c r="D20" s="6"/>
      <c r="E20" s="6"/>
      <c r="F20" s="7" cm="1">
        <f t="array" ref="F20">C20-D20-E20</f>
        <v>0</v>
      </c>
      <c r="G20" s="8"/>
      <c r="H20" s="8"/>
      <c r="I20" s="8"/>
      <c r="J20" s="8"/>
      <c r="K20" s="7" cm="1">
        <f t="array" ref="K20">H20-I20-J20</f>
        <v>0</v>
      </c>
      <c r="L20" s="9"/>
      <c r="M20" s="9"/>
      <c r="N20" s="9"/>
      <c r="O20" s="9"/>
      <c r="P20" s="10" cm="1">
        <f t="array" ref="P20">M20-N20-O20</f>
        <v>0</v>
      </c>
      <c r="Q20" s="9"/>
      <c r="R20" s="9"/>
      <c r="S20" s="9"/>
      <c r="T20" s="9"/>
      <c r="U20" s="10" cm="1">
        <f t="array" ref="U20">R20-S20-T20</f>
        <v>0</v>
      </c>
      <c r="V20" s="11"/>
      <c r="W20" s="11"/>
    </row>
    <row r="21" spans="1:23" ht="15" customHeight="1" thickBot="1">
      <c r="A21" s="5">
        <v>46130</v>
      </c>
      <c r="B21" s="6"/>
      <c r="C21" s="6"/>
      <c r="D21" s="6"/>
      <c r="E21" s="6"/>
      <c r="F21" s="7" cm="1">
        <f t="array" ref="F21">C21-D21-E21</f>
        <v>0</v>
      </c>
      <c r="G21" s="8"/>
      <c r="H21" s="8"/>
      <c r="I21" s="8"/>
      <c r="J21" s="8"/>
      <c r="K21" s="7" cm="1">
        <f t="array" ref="K21">H21-I21-J21</f>
        <v>0</v>
      </c>
      <c r="L21" s="9"/>
      <c r="M21" s="9"/>
      <c r="N21" s="9"/>
      <c r="O21" s="9"/>
      <c r="P21" s="10" cm="1">
        <f t="array" ref="P21">M21-N21-O21</f>
        <v>0</v>
      </c>
      <c r="Q21" s="9"/>
      <c r="R21" s="9"/>
      <c r="S21" s="9"/>
      <c r="T21" s="9"/>
      <c r="U21" s="10" cm="1">
        <f t="array" ref="U21">R21-S21-T21</f>
        <v>0</v>
      </c>
      <c r="V21" s="11"/>
      <c r="W21" s="11"/>
    </row>
    <row r="22" spans="1:23" ht="15" customHeight="1" thickBot="1">
      <c r="A22" s="5">
        <v>46131</v>
      </c>
      <c r="B22" s="6"/>
      <c r="C22" s="6"/>
      <c r="D22" s="6"/>
      <c r="E22" s="6"/>
      <c r="F22" s="7" cm="1">
        <f t="array" ref="F22">C22-D22-E22</f>
        <v>0</v>
      </c>
      <c r="G22" s="8"/>
      <c r="H22" s="8"/>
      <c r="I22" s="8"/>
      <c r="J22" s="8"/>
      <c r="K22" s="7" cm="1">
        <f t="array" ref="K22">H22-I22-J22</f>
        <v>0</v>
      </c>
      <c r="L22" s="9"/>
      <c r="M22" s="9"/>
      <c r="N22" s="9"/>
      <c r="O22" s="9"/>
      <c r="P22" s="10" cm="1">
        <f t="array" ref="P22">M22-N22-O22</f>
        <v>0</v>
      </c>
      <c r="Q22" s="9"/>
      <c r="R22" s="9"/>
      <c r="S22" s="9"/>
      <c r="T22" s="9"/>
      <c r="U22" s="10" cm="1">
        <f t="array" ref="U22">R22-S22-T22</f>
        <v>0</v>
      </c>
      <c r="V22" s="11"/>
      <c r="W22" s="11"/>
    </row>
    <row r="23" spans="1:23" ht="15" customHeight="1" thickBot="1">
      <c r="A23" s="5">
        <v>46132</v>
      </c>
      <c r="B23" s="6"/>
      <c r="C23" s="6"/>
      <c r="D23" s="6"/>
      <c r="E23" s="6"/>
      <c r="F23" s="7" cm="1">
        <f t="array" ref="F23">C23-D23-E23</f>
        <v>0</v>
      </c>
      <c r="G23" s="8"/>
      <c r="H23" s="8"/>
      <c r="I23" s="8"/>
      <c r="J23" s="8"/>
      <c r="K23" s="7" cm="1">
        <f t="array" ref="K23">H23-I23-J23</f>
        <v>0</v>
      </c>
      <c r="L23" s="9"/>
      <c r="M23" s="9"/>
      <c r="N23" s="9"/>
      <c r="O23" s="9"/>
      <c r="P23" s="10" cm="1">
        <f t="array" ref="P23">M23-N23-O23</f>
        <v>0</v>
      </c>
      <c r="Q23" s="9"/>
      <c r="R23" s="9"/>
      <c r="S23" s="9"/>
      <c r="T23" s="9"/>
      <c r="U23" s="10" cm="1">
        <f t="array" ref="U23">R23-S23-T23</f>
        <v>0</v>
      </c>
      <c r="V23" s="11"/>
      <c r="W23" s="11"/>
    </row>
    <row r="24" spans="1:23" ht="15" customHeight="1" thickBot="1">
      <c r="A24" s="5">
        <v>46133</v>
      </c>
      <c r="B24" s="6"/>
      <c r="C24" s="6"/>
      <c r="D24" s="6"/>
      <c r="E24" s="6"/>
      <c r="F24" s="7" cm="1">
        <f t="array" ref="F24">C24-D24-E24</f>
        <v>0</v>
      </c>
      <c r="G24" s="8"/>
      <c r="H24" s="8"/>
      <c r="I24" s="8"/>
      <c r="J24" s="8"/>
      <c r="K24" s="7" cm="1">
        <f t="array" ref="K24">H24-I24-J24</f>
        <v>0</v>
      </c>
      <c r="L24" s="9"/>
      <c r="M24" s="9"/>
      <c r="N24" s="9"/>
      <c r="O24" s="9"/>
      <c r="P24" s="10" cm="1">
        <f t="array" ref="P24">M24-N24-O24</f>
        <v>0</v>
      </c>
      <c r="Q24" s="9"/>
      <c r="R24" s="9"/>
      <c r="S24" s="9"/>
      <c r="T24" s="9"/>
      <c r="U24" s="10" cm="1">
        <f t="array" ref="U24">R24-S24-T24</f>
        <v>0</v>
      </c>
      <c r="V24" s="11"/>
      <c r="W24" s="11"/>
    </row>
    <row r="25" spans="1:23" ht="15" customHeight="1" thickBot="1">
      <c r="A25" s="5">
        <v>46134</v>
      </c>
      <c r="B25" s="6"/>
      <c r="C25" s="6"/>
      <c r="D25" s="6"/>
      <c r="E25" s="6"/>
      <c r="F25" s="7" cm="1">
        <f t="array" ref="F25">C25-D25-E25</f>
        <v>0</v>
      </c>
      <c r="G25" s="8"/>
      <c r="H25" s="8"/>
      <c r="I25" s="8"/>
      <c r="J25" s="8"/>
      <c r="K25" s="7" cm="1">
        <f t="array" ref="K25">H25-I25-J25</f>
        <v>0</v>
      </c>
      <c r="L25" s="9"/>
      <c r="M25" s="9"/>
      <c r="N25" s="9"/>
      <c r="O25" s="9"/>
      <c r="P25" s="10" cm="1">
        <f t="array" ref="P25">M25-N25-O25</f>
        <v>0</v>
      </c>
      <c r="Q25" s="9"/>
      <c r="R25" s="9"/>
      <c r="S25" s="9"/>
      <c r="T25" s="9"/>
      <c r="U25" s="10" cm="1">
        <f t="array" ref="U25">R25-S25-T25</f>
        <v>0</v>
      </c>
      <c r="V25" s="11"/>
      <c r="W25" s="11"/>
    </row>
    <row r="26" spans="1:23" ht="15" customHeight="1" thickBot="1">
      <c r="A26" s="5">
        <v>46135</v>
      </c>
      <c r="B26" s="6"/>
      <c r="C26" s="6"/>
      <c r="D26" s="6"/>
      <c r="E26" s="6"/>
      <c r="F26" s="7">
        <v>0</v>
      </c>
      <c r="G26" s="8"/>
      <c r="H26" s="8"/>
      <c r="I26" s="8"/>
      <c r="J26" s="8"/>
      <c r="K26" s="7" cm="1">
        <f t="array" ref="K26">H26-I26-J26</f>
        <v>0</v>
      </c>
      <c r="L26" s="9"/>
      <c r="M26" s="9"/>
      <c r="N26" s="9"/>
      <c r="O26" s="9"/>
      <c r="P26" s="10" cm="1">
        <f t="array" ref="P26">M26-N26-O26</f>
        <v>0</v>
      </c>
      <c r="Q26" s="9"/>
      <c r="R26" s="9"/>
      <c r="S26" s="9"/>
      <c r="T26" s="9"/>
      <c r="U26" s="10" cm="1">
        <f t="array" ref="U26">R26-S26-T26</f>
        <v>0</v>
      </c>
      <c r="V26" s="11"/>
      <c r="W26" s="11"/>
    </row>
    <row r="27" spans="1:23" ht="15" customHeight="1" thickBot="1">
      <c r="A27" s="5">
        <v>46136</v>
      </c>
      <c r="B27" s="6"/>
      <c r="C27" s="6"/>
      <c r="D27" s="6"/>
      <c r="E27" s="6"/>
      <c r="F27" s="7" cm="1">
        <f t="array" ref="F27">C27-D27-E27</f>
        <v>0</v>
      </c>
      <c r="G27" s="8"/>
      <c r="H27" s="8"/>
      <c r="I27" s="8"/>
      <c r="J27" s="8"/>
      <c r="K27" s="7" cm="1">
        <f t="array" ref="K27">H27-I27-J27</f>
        <v>0</v>
      </c>
      <c r="L27" s="9"/>
      <c r="M27" s="9"/>
      <c r="N27" s="9"/>
      <c r="O27" s="9"/>
      <c r="P27" s="10" cm="1">
        <f t="array" ref="P27">M27-N27-O27</f>
        <v>0</v>
      </c>
      <c r="Q27" s="9"/>
      <c r="R27" s="9"/>
      <c r="S27" s="9"/>
      <c r="T27" s="9"/>
      <c r="U27" s="10" cm="1">
        <f t="array" ref="U27">R27-S27-T27</f>
        <v>0</v>
      </c>
      <c r="V27" s="11"/>
      <c r="W27" s="11"/>
    </row>
    <row r="28" spans="1:23" ht="15" customHeight="1" thickBot="1">
      <c r="A28" s="5">
        <v>46137</v>
      </c>
      <c r="B28" s="6"/>
      <c r="C28" s="6"/>
      <c r="D28" s="6"/>
      <c r="E28" s="6"/>
      <c r="F28" s="7" cm="1">
        <f t="array" ref="F28">C28-D28-E28</f>
        <v>0</v>
      </c>
      <c r="G28" s="8"/>
      <c r="H28" s="8"/>
      <c r="I28" s="8"/>
      <c r="J28" s="8"/>
      <c r="K28" s="7" cm="1">
        <f t="array" ref="K28">H28-I28-J28</f>
        <v>0</v>
      </c>
      <c r="L28" s="9"/>
      <c r="M28" s="9"/>
      <c r="N28" s="9"/>
      <c r="O28" s="9"/>
      <c r="P28" s="10" cm="1">
        <f t="array" ref="P28">M28-N28-O28</f>
        <v>0</v>
      </c>
      <c r="Q28" s="9"/>
      <c r="R28" s="9"/>
      <c r="S28" s="9"/>
      <c r="T28" s="9"/>
      <c r="U28" s="10" cm="1">
        <f t="array" ref="U28">R28-S28-T28</f>
        <v>0</v>
      </c>
      <c r="V28" s="11"/>
      <c r="W28" s="11"/>
    </row>
    <row r="29" spans="1:23" ht="15" customHeight="1" thickBot="1">
      <c r="A29" s="5">
        <v>46138</v>
      </c>
      <c r="B29" s="6"/>
      <c r="C29" s="6"/>
      <c r="D29" s="6"/>
      <c r="E29" s="6"/>
      <c r="F29" s="7" cm="1">
        <f t="array" ref="F29">C29-D29-E29</f>
        <v>0</v>
      </c>
      <c r="G29" s="8"/>
      <c r="H29" s="8"/>
      <c r="I29" s="8"/>
      <c r="J29" s="8"/>
      <c r="K29" s="7" cm="1">
        <f t="array" ref="K29">H29-I29-J29</f>
        <v>0</v>
      </c>
      <c r="L29" s="9"/>
      <c r="M29" s="9"/>
      <c r="N29" s="9"/>
      <c r="O29" s="9"/>
      <c r="P29" s="10" cm="1">
        <f t="array" ref="P29">M29-N29-O29</f>
        <v>0</v>
      </c>
      <c r="Q29" s="9"/>
      <c r="R29" s="9"/>
      <c r="S29" s="9"/>
      <c r="T29" s="9"/>
      <c r="U29" s="10" cm="1">
        <f t="array" ref="U29">R29-S29-T29</f>
        <v>0</v>
      </c>
      <c r="V29" s="11"/>
      <c r="W29" s="11"/>
    </row>
    <row r="30" spans="1:23" ht="15" customHeight="1" thickBot="1">
      <c r="A30" s="5">
        <v>46139</v>
      </c>
      <c r="B30" s="6"/>
      <c r="C30" s="6"/>
      <c r="D30" s="6"/>
      <c r="E30" s="6"/>
      <c r="F30" s="7" cm="1">
        <f t="array" ref="F30">C30-D30-E30</f>
        <v>0</v>
      </c>
      <c r="G30" s="8"/>
      <c r="H30" s="8"/>
      <c r="I30" s="8"/>
      <c r="J30" s="8"/>
      <c r="K30" s="7" cm="1">
        <f t="array" ref="K30">H30-I30-J30</f>
        <v>0</v>
      </c>
      <c r="L30" s="9"/>
      <c r="M30" s="9"/>
      <c r="N30" s="9"/>
      <c r="O30" s="9"/>
      <c r="P30" s="10" cm="1">
        <f t="array" ref="P30">M30-N30-O30</f>
        <v>0</v>
      </c>
      <c r="Q30" s="9"/>
      <c r="R30" s="9"/>
      <c r="S30" s="9"/>
      <c r="T30" s="9"/>
      <c r="U30" s="10" cm="1">
        <f t="array" ref="U30">R30-S30-T30</f>
        <v>0</v>
      </c>
      <c r="V30" s="11"/>
      <c r="W30" s="11"/>
    </row>
    <row r="31" spans="1:23" ht="15" customHeight="1" thickBot="1">
      <c r="A31" s="5">
        <v>46140</v>
      </c>
      <c r="B31" s="6"/>
      <c r="C31" s="6"/>
      <c r="D31" s="6"/>
      <c r="E31" s="6"/>
      <c r="F31" s="7" cm="1">
        <f t="array" ref="F31">C31-D31-E31</f>
        <v>0</v>
      </c>
      <c r="G31" s="8"/>
      <c r="H31" s="8"/>
      <c r="I31" s="8"/>
      <c r="J31" s="8"/>
      <c r="K31" s="7" cm="1">
        <f t="array" ref="K31">H31-I31-J31</f>
        <v>0</v>
      </c>
      <c r="L31" s="9"/>
      <c r="M31" s="9"/>
      <c r="N31" s="9"/>
      <c r="O31" s="9"/>
      <c r="P31" s="10" cm="1">
        <f t="array" ref="P31">M31-N31-O31</f>
        <v>0</v>
      </c>
      <c r="Q31" s="9"/>
      <c r="R31" s="9"/>
      <c r="S31" s="9"/>
      <c r="T31" s="9"/>
      <c r="U31" s="10" cm="1">
        <f t="array" ref="U31">R31-S31-T31</f>
        <v>0</v>
      </c>
      <c r="V31" s="11"/>
      <c r="W31" s="11"/>
    </row>
    <row r="32" spans="1:23" ht="15" customHeight="1" thickBot="1">
      <c r="A32" s="5">
        <v>46141</v>
      </c>
      <c r="B32" s="6"/>
      <c r="C32" s="6"/>
      <c r="D32" s="6"/>
      <c r="E32" s="6"/>
      <c r="F32" s="7" cm="1">
        <f t="array" ref="F32">C32-D32-E32</f>
        <v>0</v>
      </c>
      <c r="G32" s="8"/>
      <c r="H32" s="8"/>
      <c r="I32" s="8"/>
      <c r="J32" s="8"/>
      <c r="K32" s="7" cm="1">
        <f t="array" ref="K32">H32-I32-J32</f>
        <v>0</v>
      </c>
      <c r="L32" s="9"/>
      <c r="M32" s="9"/>
      <c r="N32" s="9"/>
      <c r="O32" s="9"/>
      <c r="P32" s="10" cm="1">
        <f t="array" ref="P32">M32-N32-O32</f>
        <v>0</v>
      </c>
      <c r="Q32" s="9"/>
      <c r="R32" s="9"/>
      <c r="S32" s="9"/>
      <c r="T32" s="9"/>
      <c r="U32" s="10" cm="1">
        <f t="array" ref="U32">R32-S32-T32</f>
        <v>0</v>
      </c>
      <c r="V32" s="11"/>
      <c r="W32" s="11"/>
    </row>
    <row r="33" spans="1:23" ht="15" customHeight="1" thickBot="1">
      <c r="A33" s="5">
        <v>46142</v>
      </c>
      <c r="B33" s="6"/>
      <c r="C33" s="6"/>
      <c r="D33" s="6"/>
      <c r="E33" s="6"/>
      <c r="F33" s="7">
        <v>0</v>
      </c>
      <c r="G33" s="8"/>
      <c r="H33" s="8"/>
      <c r="I33" s="8"/>
      <c r="J33" s="8"/>
      <c r="K33" s="7" cm="1">
        <f t="array" ref="K33">H33-I33-J33</f>
        <v>0</v>
      </c>
      <c r="L33" s="9"/>
      <c r="M33" s="9"/>
      <c r="N33" s="9"/>
      <c r="O33" s="9"/>
      <c r="P33" s="10" cm="1">
        <f t="array" ref="P33">M33-N33-O33</f>
        <v>0</v>
      </c>
      <c r="Q33" s="9"/>
      <c r="R33" s="9"/>
      <c r="S33" s="9"/>
      <c r="T33" s="9"/>
      <c r="U33" s="10" cm="1">
        <f t="array" ref="U33">R33-S33-T33</f>
        <v>0</v>
      </c>
      <c r="V33" s="11"/>
      <c r="W33" s="11"/>
    </row>
    <row r="34" spans="1:23" ht="14.4" customHeight="1" thickBot="1">
      <c r="A34" s="12" t="s">
        <v>12</v>
      </c>
      <c r="B34" s="13">
        <v>1134100</v>
      </c>
      <c r="C34" s="13" cm="1">
        <f t="array" ref="C34">SUM(C4:C31)</f>
        <v>0</v>
      </c>
      <c r="D34" s="13" cm="1">
        <f t="array" ref="D34">SUM(D4:D31)</f>
        <v>0</v>
      </c>
      <c r="E34" s="13" cm="1">
        <f t="array" ref="E34">SUM(E4:E31)</f>
        <v>0</v>
      </c>
      <c r="F34" s="14" cm="1">
        <f t="array" ref="F34">C34-D34-E34</f>
        <v>0</v>
      </c>
      <c r="G34" s="15">
        <v>1517550</v>
      </c>
      <c r="H34" s="15" cm="1">
        <f t="array" ref="H34">SUM(H4:H33)</f>
        <v>0</v>
      </c>
      <c r="I34" s="15" cm="1">
        <f t="array" ref="I34">SUM(I4:I33)</f>
        <v>0</v>
      </c>
      <c r="J34" s="15" cm="1">
        <f t="array" ref="J34">SUM(J4:J33)</f>
        <v>0</v>
      </c>
      <c r="K34" s="14" cm="1">
        <f t="array" ref="K34">H34-I34-J34</f>
        <v>0</v>
      </c>
      <c r="L34" s="16">
        <v>982800</v>
      </c>
      <c r="M34" s="16" cm="1">
        <f t="array" ref="M34">SUM(M4:M33)</f>
        <v>0</v>
      </c>
      <c r="N34" s="16" cm="1">
        <f t="array" ref="N34">SUM(N4:N33)</f>
        <v>0</v>
      </c>
      <c r="O34" s="16" cm="1">
        <f t="array" ref="O34">SUM(O4:O33)</f>
        <v>0</v>
      </c>
      <c r="P34" s="17" cm="1">
        <f t="array" ref="P34">M34-N34-O34</f>
        <v>0</v>
      </c>
      <c r="Q34" s="16"/>
      <c r="R34" s="16">
        <f>SUM(R4:R33)</f>
        <v>0</v>
      </c>
      <c r="S34" s="16" cm="1">
        <f t="array" ref="S34">SUM(S4:S33)</f>
        <v>0</v>
      </c>
      <c r="T34" s="16" cm="1">
        <f t="array" ref="T34">SUM(T4:T33)</f>
        <v>0</v>
      </c>
      <c r="U34" s="17" cm="1">
        <f t="array" ref="U34">R34-S34-T34</f>
        <v>0</v>
      </c>
      <c r="V34" s="11" cm="1">
        <f t="array" ref="V34">SUM(F34,K34,P34)</f>
        <v>0</v>
      </c>
      <c r="W34" s="11">
        <v>31500</v>
      </c>
    </row>
  </sheetData>
  <mergeCells count="23">
    <mergeCell ref="A1:A3"/>
    <mergeCell ref="L1:P1"/>
    <mergeCell ref="V1:V3"/>
    <mergeCell ref="Q1:U1"/>
    <mergeCell ref="Q2:Q3"/>
    <mergeCell ref="R2:R3"/>
    <mergeCell ref="S2:T2"/>
    <mergeCell ref="U2:U3"/>
    <mergeCell ref="W1:W3"/>
    <mergeCell ref="B2:B3"/>
    <mergeCell ref="C2:C3"/>
    <mergeCell ref="D2:E2"/>
    <mergeCell ref="F2:F3"/>
    <mergeCell ref="G2:G3"/>
    <mergeCell ref="H2:H3"/>
    <mergeCell ref="I2:J2"/>
    <mergeCell ref="K2:K3"/>
    <mergeCell ref="L2:L3"/>
    <mergeCell ref="M2:M3"/>
    <mergeCell ref="N2:O2"/>
    <mergeCell ref="P2:P3"/>
    <mergeCell ref="B1:F1"/>
    <mergeCell ref="G1:K1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35"/>
  <sheetViews>
    <sheetView showGridLines="0" topLeftCell="G1" workbookViewId="0">
      <selection activeCell="AA29" sqref="AA29"/>
    </sheetView>
  </sheetViews>
  <sheetFormatPr defaultColWidth="8.88671875" defaultRowHeight="14.4" customHeight="1"/>
  <cols>
    <col min="1" max="1" width="39.44140625" style="24" customWidth="1"/>
    <col min="2" max="2" width="16" style="24" customWidth="1"/>
    <col min="3" max="3" width="12.88671875" style="24" customWidth="1"/>
    <col min="4" max="4" width="11.88671875" style="24" customWidth="1"/>
    <col min="5" max="5" width="11.21875" style="24" customWidth="1"/>
    <col min="6" max="6" width="12" style="24" customWidth="1"/>
    <col min="7" max="7" width="14.88671875" style="24" customWidth="1"/>
    <col min="8" max="8" width="10.44140625" style="24" customWidth="1"/>
    <col min="9" max="10" width="11.21875" style="24" customWidth="1"/>
    <col min="11" max="11" width="12" style="24" customWidth="1"/>
    <col min="12" max="12" width="11.88671875" style="24" customWidth="1"/>
    <col min="13" max="14" width="11.21875" style="24" customWidth="1"/>
    <col min="15" max="15" width="11.6640625" style="24" customWidth="1"/>
    <col min="16" max="16" width="12.44140625" style="24" customWidth="1"/>
    <col min="19" max="19" width="11.21875" style="24" customWidth="1"/>
    <col min="20" max="20" width="12.33203125" style="24" customWidth="1"/>
    <col min="21" max="21" width="12.21875" style="24" customWidth="1"/>
    <col min="22" max="22" width="12.88671875" style="24" customWidth="1"/>
    <col min="23" max="23" width="12" style="24" customWidth="1"/>
    <col min="24" max="16384" width="8.88671875" style="24"/>
  </cols>
  <sheetData>
    <row r="1" spans="1:23" ht="15" customHeight="1" thickBot="1">
      <c r="A1" s="47" t="s">
        <v>0</v>
      </c>
      <c r="B1" s="51" t="s">
        <v>1</v>
      </c>
      <c r="C1" s="52"/>
      <c r="D1" s="52"/>
      <c r="E1" s="52"/>
      <c r="F1" s="53"/>
      <c r="G1" s="60" t="s">
        <v>2</v>
      </c>
      <c r="H1" s="66"/>
      <c r="I1" s="66"/>
      <c r="J1" s="66"/>
      <c r="K1" s="61"/>
      <c r="L1" s="39" t="s">
        <v>3</v>
      </c>
      <c r="M1" s="65"/>
      <c r="N1" s="65"/>
      <c r="O1" s="65"/>
      <c r="P1" s="40"/>
      <c r="Q1" s="39" t="s">
        <v>14</v>
      </c>
      <c r="R1" s="65"/>
      <c r="S1" s="65"/>
      <c r="T1" s="65"/>
      <c r="U1" s="40"/>
      <c r="V1" s="44" t="s">
        <v>4</v>
      </c>
      <c r="W1" s="41" t="s">
        <v>5</v>
      </c>
    </row>
    <row r="2" spans="1:23" ht="15" customHeight="1" thickBot="1">
      <c r="A2" s="48"/>
      <c r="B2" s="49" t="s">
        <v>6</v>
      </c>
      <c r="C2" s="54" t="s">
        <v>7</v>
      </c>
      <c r="D2" s="51" t="s">
        <v>8</v>
      </c>
      <c r="E2" s="53"/>
      <c r="F2" s="33" t="s">
        <v>9</v>
      </c>
      <c r="G2" s="56" t="s">
        <v>6</v>
      </c>
      <c r="H2" s="58" t="s">
        <v>7</v>
      </c>
      <c r="I2" s="60" t="s">
        <v>8</v>
      </c>
      <c r="J2" s="61"/>
      <c r="K2" s="33" t="s">
        <v>9</v>
      </c>
      <c r="L2" s="35" t="s">
        <v>6</v>
      </c>
      <c r="M2" s="37" t="s">
        <v>7</v>
      </c>
      <c r="N2" s="39" t="s">
        <v>8</v>
      </c>
      <c r="O2" s="40"/>
      <c r="P2" s="33" t="s">
        <v>9</v>
      </c>
      <c r="Q2" s="35" t="s">
        <v>6</v>
      </c>
      <c r="R2" s="37" t="s">
        <v>7</v>
      </c>
      <c r="S2" s="39" t="s">
        <v>8</v>
      </c>
      <c r="T2" s="40"/>
      <c r="U2" s="33" t="s">
        <v>9</v>
      </c>
      <c r="V2" s="45"/>
      <c r="W2" s="42"/>
    </row>
    <row r="3" spans="1:23" ht="31.8" customHeight="1" thickBot="1">
      <c r="A3" s="48"/>
      <c r="B3" s="50"/>
      <c r="C3" s="55"/>
      <c r="D3" s="2" t="s">
        <v>10</v>
      </c>
      <c r="E3" s="2" t="s">
        <v>11</v>
      </c>
      <c r="F3" s="34"/>
      <c r="G3" s="57"/>
      <c r="H3" s="59"/>
      <c r="I3" s="3" t="s">
        <v>10</v>
      </c>
      <c r="J3" s="3" t="s">
        <v>11</v>
      </c>
      <c r="K3" s="34"/>
      <c r="L3" s="36"/>
      <c r="M3" s="38"/>
      <c r="N3" s="4" t="s">
        <v>10</v>
      </c>
      <c r="O3" s="4" t="s">
        <v>11</v>
      </c>
      <c r="P3" s="34"/>
      <c r="Q3" s="36"/>
      <c r="R3" s="38"/>
      <c r="S3" s="4" t="s">
        <v>10</v>
      </c>
      <c r="T3" s="4" t="s">
        <v>11</v>
      </c>
      <c r="U3" s="34"/>
      <c r="V3" s="46"/>
      <c r="W3" s="43"/>
    </row>
    <row r="4" spans="1:23" ht="15" customHeight="1" thickBot="1">
      <c r="A4" s="5">
        <v>46143</v>
      </c>
      <c r="B4" s="6"/>
      <c r="C4" s="6"/>
      <c r="D4" s="6"/>
      <c r="E4" s="6"/>
      <c r="F4" s="7" cm="1">
        <f t="array" ref="F4">C4-D4-E4</f>
        <v>0</v>
      </c>
      <c r="G4" s="8"/>
      <c r="H4" s="8"/>
      <c r="I4" s="8"/>
      <c r="J4" s="8"/>
      <c r="K4" s="7" cm="1">
        <f t="array" ref="K4">H4-I4-J4</f>
        <v>0</v>
      </c>
      <c r="L4" s="9"/>
      <c r="M4" s="9"/>
      <c r="N4" s="9"/>
      <c r="O4" s="9"/>
      <c r="P4" s="10" cm="1">
        <f t="array" ref="P4">M4-N4-O4</f>
        <v>0</v>
      </c>
      <c r="Q4" s="9"/>
      <c r="R4" s="9"/>
      <c r="S4" s="9"/>
      <c r="T4" s="9"/>
      <c r="U4" s="10" cm="1">
        <f t="array" ref="U4">R4-S4-T4</f>
        <v>0</v>
      </c>
      <c r="V4" s="11"/>
      <c r="W4" s="11"/>
    </row>
    <row r="5" spans="1:23" ht="15" customHeight="1" thickBot="1">
      <c r="A5" s="5">
        <v>46144</v>
      </c>
      <c r="B5" s="6"/>
      <c r="C5" s="6"/>
      <c r="D5" s="6"/>
      <c r="E5" s="6"/>
      <c r="F5" s="7" cm="1">
        <f t="array" ref="F5">C5-D5-E5</f>
        <v>0</v>
      </c>
      <c r="G5" s="8"/>
      <c r="H5" s="8"/>
      <c r="I5" s="8"/>
      <c r="J5" s="8"/>
      <c r="K5" s="7" cm="1">
        <f t="array" ref="K5">H5-I5-J5</f>
        <v>0</v>
      </c>
      <c r="L5" s="9"/>
      <c r="M5" s="9"/>
      <c r="N5" s="9"/>
      <c r="O5" s="9"/>
      <c r="P5" s="10" cm="1">
        <f t="array" ref="P5">M5-N5-O5</f>
        <v>0</v>
      </c>
      <c r="Q5" s="9"/>
      <c r="R5" s="9"/>
      <c r="S5" s="9"/>
      <c r="T5" s="9"/>
      <c r="U5" s="10" cm="1">
        <f t="array" ref="U5">R5-S5-T5</f>
        <v>0</v>
      </c>
      <c r="V5" s="11"/>
      <c r="W5" s="11"/>
    </row>
    <row r="6" spans="1:23" ht="15" customHeight="1" thickBot="1">
      <c r="A6" s="5">
        <v>46145</v>
      </c>
      <c r="B6" s="6"/>
      <c r="C6" s="6"/>
      <c r="D6" s="6"/>
      <c r="E6" s="6"/>
      <c r="F6" s="7" cm="1">
        <f t="array" ref="F6">C6-D6-E6</f>
        <v>0</v>
      </c>
      <c r="G6" s="8"/>
      <c r="H6" s="8"/>
      <c r="I6" s="8"/>
      <c r="J6" s="8"/>
      <c r="K6" s="7" cm="1">
        <f t="array" ref="K6">H6-I6-J6</f>
        <v>0</v>
      </c>
      <c r="L6" s="9"/>
      <c r="M6" s="9"/>
      <c r="N6" s="9"/>
      <c r="O6" s="9"/>
      <c r="P6" s="10" cm="1">
        <f t="array" ref="P6">M6-N6-O6</f>
        <v>0</v>
      </c>
      <c r="Q6" s="9"/>
      <c r="R6" s="9"/>
      <c r="S6" s="9"/>
      <c r="T6" s="9"/>
      <c r="U6" s="10" cm="1">
        <f t="array" ref="U6">R6-S6-T6</f>
        <v>0</v>
      </c>
      <c r="V6" s="11"/>
      <c r="W6" s="11"/>
    </row>
    <row r="7" spans="1:23" ht="15" customHeight="1" thickBot="1">
      <c r="A7" s="5">
        <v>46146</v>
      </c>
      <c r="B7" s="6"/>
      <c r="C7" s="6"/>
      <c r="D7" s="6"/>
      <c r="E7" s="6"/>
      <c r="F7" s="7" cm="1">
        <f t="array" ref="F7">C7-D7-E7</f>
        <v>0</v>
      </c>
      <c r="G7" s="8"/>
      <c r="H7" s="8"/>
      <c r="I7" s="8"/>
      <c r="J7" s="8"/>
      <c r="K7" s="7" cm="1">
        <f t="array" ref="K7">H7-I7-J7</f>
        <v>0</v>
      </c>
      <c r="L7" s="9"/>
      <c r="M7" s="9"/>
      <c r="N7" s="9"/>
      <c r="O7" s="9"/>
      <c r="P7" s="10" cm="1">
        <f t="array" ref="P7">M7-N7-O7</f>
        <v>0</v>
      </c>
      <c r="Q7" s="9"/>
      <c r="R7" s="9"/>
      <c r="S7" s="9"/>
      <c r="T7" s="9"/>
      <c r="U7" s="10" cm="1">
        <f t="array" ref="U7">R7-S7-T7</f>
        <v>0</v>
      </c>
      <c r="V7" s="11"/>
      <c r="W7" s="11"/>
    </row>
    <row r="8" spans="1:23" ht="15" customHeight="1" thickBot="1">
      <c r="A8" s="5">
        <v>46147</v>
      </c>
      <c r="B8" s="6"/>
      <c r="C8" s="6"/>
      <c r="D8" s="6"/>
      <c r="E8" s="6"/>
      <c r="F8" s="7" cm="1">
        <f t="array" ref="F8">C8-D8-E8</f>
        <v>0</v>
      </c>
      <c r="G8" s="8"/>
      <c r="H8" s="8"/>
      <c r="I8" s="8"/>
      <c r="J8" s="8"/>
      <c r="K8" s="7" cm="1">
        <f t="array" ref="K8">H8-I8-J8</f>
        <v>0</v>
      </c>
      <c r="L8" s="9"/>
      <c r="M8" s="9"/>
      <c r="N8" s="9"/>
      <c r="O8" s="9"/>
      <c r="P8" s="10" cm="1">
        <f t="array" ref="P8">M8-N8-O8</f>
        <v>0</v>
      </c>
      <c r="Q8" s="9"/>
      <c r="R8" s="9"/>
      <c r="S8" s="9"/>
      <c r="T8" s="9"/>
      <c r="U8" s="10" cm="1">
        <f t="array" ref="U8">R8-S8-T8</f>
        <v>0</v>
      </c>
      <c r="V8" s="11"/>
      <c r="W8" s="11"/>
    </row>
    <row r="9" spans="1:23" ht="15" customHeight="1" thickBot="1">
      <c r="A9" s="5">
        <v>46148</v>
      </c>
      <c r="B9" s="6"/>
      <c r="C9" s="6"/>
      <c r="D9" s="6"/>
      <c r="E9" s="6"/>
      <c r="F9" s="7" cm="1">
        <f t="array" ref="F9">C9-D9-E9</f>
        <v>0</v>
      </c>
      <c r="G9" s="8"/>
      <c r="H9" s="8"/>
      <c r="I9" s="8"/>
      <c r="J9" s="8"/>
      <c r="K9" s="7" cm="1">
        <f t="array" ref="K9">H9-I9-J9</f>
        <v>0</v>
      </c>
      <c r="L9" s="9"/>
      <c r="M9" s="9"/>
      <c r="N9" s="9"/>
      <c r="O9" s="9"/>
      <c r="P9" s="10" cm="1">
        <f t="array" ref="P9">M9-N9-O9</f>
        <v>0</v>
      </c>
      <c r="Q9" s="9"/>
      <c r="R9" s="9"/>
      <c r="S9" s="9"/>
      <c r="T9" s="9"/>
      <c r="U9" s="10" cm="1">
        <f t="array" ref="U9">R9-S9-T9</f>
        <v>0</v>
      </c>
      <c r="V9" s="11"/>
      <c r="W9" s="11"/>
    </row>
    <row r="10" spans="1:23" ht="15" customHeight="1" thickBot="1">
      <c r="A10" s="5">
        <v>46149</v>
      </c>
      <c r="B10" s="6"/>
      <c r="C10" s="6"/>
      <c r="D10" s="6"/>
      <c r="E10" s="6"/>
      <c r="F10" s="7" cm="1">
        <f t="array" ref="F10">C10-D10-E10</f>
        <v>0</v>
      </c>
      <c r="G10" s="8"/>
      <c r="H10" s="8"/>
      <c r="I10" s="8"/>
      <c r="J10" s="8"/>
      <c r="K10" s="7" cm="1">
        <f t="array" ref="K10">H10-I10-J10</f>
        <v>0</v>
      </c>
      <c r="L10" s="9"/>
      <c r="M10" s="9"/>
      <c r="N10" s="9"/>
      <c r="O10" s="9"/>
      <c r="P10" s="10" cm="1">
        <f t="array" ref="P10">M10-N10-O10</f>
        <v>0</v>
      </c>
      <c r="Q10" s="9"/>
      <c r="R10" s="9"/>
      <c r="S10" s="9"/>
      <c r="T10" s="9"/>
      <c r="U10" s="10" cm="1">
        <f t="array" ref="U10">R10-S10-T10</f>
        <v>0</v>
      </c>
      <c r="V10" s="11"/>
      <c r="W10" s="11"/>
    </row>
    <row r="11" spans="1:23" ht="15" customHeight="1" thickBot="1">
      <c r="A11" s="5">
        <v>46150</v>
      </c>
      <c r="B11" s="6"/>
      <c r="C11" s="6"/>
      <c r="D11" s="6"/>
      <c r="E11" s="6"/>
      <c r="F11" s="7" cm="1">
        <f t="array" ref="F11">C11-D11-E11</f>
        <v>0</v>
      </c>
      <c r="G11" s="8"/>
      <c r="H11" s="8"/>
      <c r="I11" s="8"/>
      <c r="J11" s="8"/>
      <c r="K11" s="7" cm="1">
        <f t="array" ref="K11">H11-I11-J11</f>
        <v>0</v>
      </c>
      <c r="L11" s="9"/>
      <c r="M11" s="9"/>
      <c r="N11" s="9"/>
      <c r="O11" s="9"/>
      <c r="P11" s="10" cm="1">
        <f t="array" ref="P11">M11-N11-O11</f>
        <v>0</v>
      </c>
      <c r="Q11" s="9"/>
      <c r="R11" s="9"/>
      <c r="S11" s="9"/>
      <c r="T11" s="9"/>
      <c r="U11" s="10" cm="1">
        <f t="array" ref="U11">R11-S11-T11</f>
        <v>0</v>
      </c>
      <c r="V11" s="11"/>
      <c r="W11" s="11"/>
    </row>
    <row r="12" spans="1:23" ht="15" customHeight="1" thickBot="1">
      <c r="A12" s="5">
        <v>46151</v>
      </c>
      <c r="B12" s="6"/>
      <c r="C12" s="6"/>
      <c r="D12" s="6"/>
      <c r="E12" s="6"/>
      <c r="F12" s="7" cm="1">
        <f t="array" ref="F12">C12-D12-E12</f>
        <v>0</v>
      </c>
      <c r="G12" s="8"/>
      <c r="H12" s="8"/>
      <c r="I12" s="8"/>
      <c r="J12" s="8"/>
      <c r="K12" s="7" cm="1">
        <f t="array" ref="K12">H12-I12-J12</f>
        <v>0</v>
      </c>
      <c r="L12" s="9"/>
      <c r="M12" s="9"/>
      <c r="N12" s="9"/>
      <c r="O12" s="9"/>
      <c r="P12" s="10" cm="1">
        <f t="array" ref="P12">M12-N12-O12</f>
        <v>0</v>
      </c>
      <c r="Q12" s="9"/>
      <c r="R12" s="9"/>
      <c r="S12" s="9"/>
      <c r="T12" s="9"/>
      <c r="U12" s="10" cm="1">
        <f t="array" ref="U12">R12-S12-T12</f>
        <v>0</v>
      </c>
      <c r="V12" s="11"/>
      <c r="W12" s="11"/>
    </row>
    <row r="13" spans="1:23" ht="15" customHeight="1" thickBot="1">
      <c r="A13" s="5">
        <v>46152</v>
      </c>
      <c r="B13" s="6"/>
      <c r="C13" s="6"/>
      <c r="D13" s="6"/>
      <c r="E13" s="6"/>
      <c r="F13" s="7" cm="1">
        <f t="array" ref="F13">C13-D13-E13</f>
        <v>0</v>
      </c>
      <c r="G13" s="8"/>
      <c r="H13" s="8"/>
      <c r="I13" s="8"/>
      <c r="J13" s="8"/>
      <c r="K13" s="7" cm="1">
        <f t="array" ref="K13">H13-I13-J13</f>
        <v>0</v>
      </c>
      <c r="L13" s="9"/>
      <c r="M13" s="9"/>
      <c r="N13" s="9"/>
      <c r="O13" s="9"/>
      <c r="P13" s="10" cm="1">
        <f t="array" ref="P13">M13-N13-O13</f>
        <v>0</v>
      </c>
      <c r="Q13" s="9"/>
      <c r="R13" s="9"/>
      <c r="S13" s="9"/>
      <c r="T13" s="9"/>
      <c r="U13" s="10" cm="1">
        <f t="array" ref="U13">R13-S13-T13</f>
        <v>0</v>
      </c>
      <c r="V13" s="11"/>
      <c r="W13" s="11"/>
    </row>
    <row r="14" spans="1:23" ht="15" customHeight="1" thickBot="1">
      <c r="A14" s="5">
        <v>46153</v>
      </c>
      <c r="B14" s="6"/>
      <c r="C14" s="6"/>
      <c r="D14" s="6"/>
      <c r="E14" s="6"/>
      <c r="F14" s="7" cm="1">
        <f t="array" ref="F14">C14-D14-E14</f>
        <v>0</v>
      </c>
      <c r="G14" s="8"/>
      <c r="H14" s="8"/>
      <c r="I14" s="8"/>
      <c r="J14" s="8"/>
      <c r="K14" s="7" cm="1">
        <f t="array" ref="K14">H14-I14-J14</f>
        <v>0</v>
      </c>
      <c r="L14" s="9"/>
      <c r="M14" s="9"/>
      <c r="N14" s="9"/>
      <c r="O14" s="9"/>
      <c r="P14" s="10" cm="1">
        <f t="array" ref="P14">M14-N14-O14</f>
        <v>0</v>
      </c>
      <c r="Q14" s="9"/>
      <c r="R14" s="9"/>
      <c r="S14" s="9"/>
      <c r="T14" s="9"/>
      <c r="U14" s="10" cm="1">
        <f t="array" ref="U14">R14-S14-T14</f>
        <v>0</v>
      </c>
      <c r="V14" s="11"/>
      <c r="W14" s="11"/>
    </row>
    <row r="15" spans="1:23" ht="15" customHeight="1" thickBot="1">
      <c r="A15" s="5">
        <v>46154</v>
      </c>
      <c r="B15" s="6"/>
      <c r="C15" s="6"/>
      <c r="D15" s="6"/>
      <c r="E15" s="6"/>
      <c r="F15" s="7" cm="1">
        <f t="array" ref="F15">C15-D15-E15</f>
        <v>0</v>
      </c>
      <c r="G15" s="8"/>
      <c r="H15" s="8"/>
      <c r="I15" s="8"/>
      <c r="J15" s="8"/>
      <c r="K15" s="7" cm="1">
        <f t="array" ref="K15">H15-I15-J15</f>
        <v>0</v>
      </c>
      <c r="L15" s="9"/>
      <c r="M15" s="9"/>
      <c r="N15" s="9"/>
      <c r="O15" s="9"/>
      <c r="P15" s="10" cm="1">
        <f t="array" ref="P15">M15-N15-O15</f>
        <v>0</v>
      </c>
      <c r="Q15" s="9"/>
      <c r="R15" s="9"/>
      <c r="S15" s="9"/>
      <c r="T15" s="9"/>
      <c r="U15" s="10" cm="1">
        <f t="array" ref="U15">R15-S15-T15</f>
        <v>0</v>
      </c>
      <c r="V15" s="11"/>
      <c r="W15" s="11"/>
    </row>
    <row r="16" spans="1:23" ht="15" customHeight="1" thickBot="1">
      <c r="A16" s="5">
        <v>46155</v>
      </c>
      <c r="B16" s="6"/>
      <c r="C16" s="6"/>
      <c r="D16" s="6"/>
      <c r="E16" s="6"/>
      <c r="F16" s="7" cm="1">
        <f t="array" ref="F16">C16-D16-E16</f>
        <v>0</v>
      </c>
      <c r="G16" s="8"/>
      <c r="H16" s="8"/>
      <c r="I16" s="8"/>
      <c r="J16" s="8"/>
      <c r="K16" s="7" cm="1">
        <f t="array" ref="K16">H16-I16-J16</f>
        <v>0</v>
      </c>
      <c r="L16" s="9"/>
      <c r="M16" s="9"/>
      <c r="N16" s="9"/>
      <c r="O16" s="9"/>
      <c r="P16" s="10" cm="1">
        <f t="array" ref="P16">M16-N16-O16</f>
        <v>0</v>
      </c>
      <c r="Q16" s="9"/>
      <c r="R16" s="9"/>
      <c r="S16" s="9"/>
      <c r="T16" s="9"/>
      <c r="U16" s="10" cm="1">
        <f t="array" ref="U16">R16-S16-T16</f>
        <v>0</v>
      </c>
      <c r="V16" s="11"/>
      <c r="W16" s="11"/>
    </row>
    <row r="17" spans="1:23" ht="15" customHeight="1" thickBot="1">
      <c r="A17" s="5">
        <v>46156</v>
      </c>
      <c r="B17" s="6"/>
      <c r="C17" s="6"/>
      <c r="D17" s="6"/>
      <c r="E17" s="6"/>
      <c r="F17" s="7" cm="1">
        <f t="array" ref="F17">C17-D17-E17</f>
        <v>0</v>
      </c>
      <c r="G17" s="8"/>
      <c r="H17" s="8"/>
      <c r="I17" s="8"/>
      <c r="J17" s="8"/>
      <c r="K17" s="7" cm="1">
        <f t="array" ref="K17">H17-I17-J17</f>
        <v>0</v>
      </c>
      <c r="L17" s="9"/>
      <c r="M17" s="9"/>
      <c r="N17" s="9"/>
      <c r="O17" s="9"/>
      <c r="P17" s="10" cm="1">
        <f t="array" ref="P17">M17-N17-O17</f>
        <v>0</v>
      </c>
      <c r="Q17" s="9"/>
      <c r="R17" s="9"/>
      <c r="S17" s="9"/>
      <c r="T17" s="9"/>
      <c r="U17" s="10" cm="1">
        <f t="array" ref="U17">R17-S17-T17</f>
        <v>0</v>
      </c>
      <c r="V17" s="11"/>
      <c r="W17" s="11"/>
    </row>
    <row r="18" spans="1:23" ht="15" customHeight="1" thickBot="1">
      <c r="A18" s="5">
        <v>46157</v>
      </c>
      <c r="B18" s="6"/>
      <c r="C18" s="6"/>
      <c r="D18" s="6"/>
      <c r="E18" s="6"/>
      <c r="F18" s="7" cm="1">
        <f t="array" ref="F18">C18-D18-E18</f>
        <v>0</v>
      </c>
      <c r="G18" s="8"/>
      <c r="H18" s="8"/>
      <c r="I18" s="8"/>
      <c r="J18" s="8"/>
      <c r="K18" s="7" cm="1">
        <f t="array" ref="K18">H18-I18-J18</f>
        <v>0</v>
      </c>
      <c r="L18" s="9"/>
      <c r="M18" s="9"/>
      <c r="N18" s="9"/>
      <c r="O18" s="9"/>
      <c r="P18" s="10" cm="1">
        <f t="array" ref="P18">M18-N18-O18</f>
        <v>0</v>
      </c>
      <c r="Q18" s="9"/>
      <c r="R18" s="9"/>
      <c r="S18" s="9"/>
      <c r="T18" s="9"/>
      <c r="U18" s="10" cm="1">
        <f t="array" ref="U18">R18-S18-T18</f>
        <v>0</v>
      </c>
      <c r="V18" s="11"/>
      <c r="W18" s="11"/>
    </row>
    <row r="19" spans="1:23" ht="15" customHeight="1" thickBot="1">
      <c r="A19" s="5">
        <v>46158</v>
      </c>
      <c r="B19" s="6"/>
      <c r="C19" s="6"/>
      <c r="D19" s="6"/>
      <c r="E19" s="6"/>
      <c r="F19" s="7" cm="1">
        <f t="array" ref="F19">C19-D19-E19</f>
        <v>0</v>
      </c>
      <c r="G19" s="8"/>
      <c r="H19" s="8"/>
      <c r="I19" s="8"/>
      <c r="J19" s="8"/>
      <c r="K19" s="7" cm="1">
        <f t="array" ref="K19">H19-I19-J19</f>
        <v>0</v>
      </c>
      <c r="L19" s="9"/>
      <c r="M19" s="9"/>
      <c r="N19" s="9"/>
      <c r="O19" s="9"/>
      <c r="P19" s="10" cm="1">
        <f t="array" ref="P19">M19-N19-O19</f>
        <v>0</v>
      </c>
      <c r="Q19" s="9"/>
      <c r="R19" s="9"/>
      <c r="S19" s="9"/>
      <c r="T19" s="9"/>
      <c r="U19" s="10" cm="1">
        <f t="array" ref="U19">R19-S19-T19</f>
        <v>0</v>
      </c>
      <c r="V19" s="11"/>
      <c r="W19" s="11"/>
    </row>
    <row r="20" spans="1:23" ht="15" customHeight="1" thickBot="1">
      <c r="A20" s="5">
        <v>46159</v>
      </c>
      <c r="B20" s="6"/>
      <c r="C20" s="6"/>
      <c r="D20" s="6"/>
      <c r="E20" s="6"/>
      <c r="F20" s="7" cm="1">
        <f t="array" ref="F20">C20-D20-E20</f>
        <v>0</v>
      </c>
      <c r="G20" s="8"/>
      <c r="H20" s="8"/>
      <c r="I20" s="8"/>
      <c r="J20" s="8"/>
      <c r="K20" s="7" cm="1">
        <f t="array" ref="K20">H20-I20-J20</f>
        <v>0</v>
      </c>
      <c r="L20" s="9"/>
      <c r="M20" s="9"/>
      <c r="N20" s="9"/>
      <c r="O20" s="9"/>
      <c r="P20" s="10" cm="1">
        <f t="array" ref="P20">M20-N20-O20</f>
        <v>0</v>
      </c>
      <c r="Q20" s="9"/>
      <c r="R20" s="9"/>
      <c r="S20" s="9"/>
      <c r="T20" s="9"/>
      <c r="U20" s="10" cm="1">
        <f t="array" ref="U20">R20-S20-T20</f>
        <v>0</v>
      </c>
      <c r="V20" s="11"/>
      <c r="W20" s="11"/>
    </row>
    <row r="21" spans="1:23" ht="15" customHeight="1" thickBot="1">
      <c r="A21" s="5">
        <v>46160</v>
      </c>
      <c r="B21" s="6"/>
      <c r="C21" s="6"/>
      <c r="D21" s="6"/>
      <c r="E21" s="6"/>
      <c r="F21" s="7" cm="1">
        <f t="array" ref="F21">C21-D21-E21</f>
        <v>0</v>
      </c>
      <c r="G21" s="8"/>
      <c r="H21" s="8"/>
      <c r="I21" s="8"/>
      <c r="J21" s="8"/>
      <c r="K21" s="7" cm="1">
        <f t="array" ref="K21">H21-I21-J21</f>
        <v>0</v>
      </c>
      <c r="L21" s="9"/>
      <c r="M21" s="9"/>
      <c r="N21" s="9"/>
      <c r="O21" s="9"/>
      <c r="P21" s="10" cm="1">
        <f t="array" ref="P21">M21-N21-O21</f>
        <v>0</v>
      </c>
      <c r="Q21" s="9"/>
      <c r="R21" s="9"/>
      <c r="S21" s="9"/>
      <c r="T21" s="9"/>
      <c r="U21" s="10" cm="1">
        <f t="array" ref="U21">R21-S21-T21</f>
        <v>0</v>
      </c>
      <c r="V21" s="11"/>
      <c r="W21" s="11"/>
    </row>
    <row r="22" spans="1:23" ht="15" customHeight="1" thickBot="1">
      <c r="A22" s="5">
        <v>46161</v>
      </c>
      <c r="B22" s="6"/>
      <c r="C22" s="6"/>
      <c r="D22" s="6"/>
      <c r="E22" s="6"/>
      <c r="F22" s="7" cm="1">
        <f t="array" ref="F22">C22-D22-E22</f>
        <v>0</v>
      </c>
      <c r="G22" s="8"/>
      <c r="H22" s="8"/>
      <c r="I22" s="8"/>
      <c r="J22" s="8"/>
      <c r="K22" s="7" cm="1">
        <f t="array" ref="K22">H22-I22-J22</f>
        <v>0</v>
      </c>
      <c r="L22" s="9"/>
      <c r="M22" s="9"/>
      <c r="N22" s="9"/>
      <c r="O22" s="9"/>
      <c r="P22" s="10" cm="1">
        <f t="array" ref="P22">M22-N22-O22</f>
        <v>0</v>
      </c>
      <c r="Q22" s="9"/>
      <c r="R22" s="9"/>
      <c r="S22" s="9"/>
      <c r="T22" s="9"/>
      <c r="U22" s="10" cm="1">
        <f t="array" ref="U22">R22-S22-T22</f>
        <v>0</v>
      </c>
      <c r="V22" s="11"/>
      <c r="W22" s="11"/>
    </row>
    <row r="23" spans="1:23" ht="15" customHeight="1" thickBot="1">
      <c r="A23" s="5">
        <v>46162</v>
      </c>
      <c r="B23" s="6"/>
      <c r="C23" s="6"/>
      <c r="D23" s="6"/>
      <c r="E23" s="6"/>
      <c r="F23" s="7" cm="1">
        <f t="array" ref="F23">C23-D23-E23</f>
        <v>0</v>
      </c>
      <c r="G23" s="8"/>
      <c r="H23" s="8"/>
      <c r="I23" s="8"/>
      <c r="J23" s="8"/>
      <c r="K23" s="7" cm="1">
        <f t="array" ref="K23">H23-I23-J23</f>
        <v>0</v>
      </c>
      <c r="L23" s="9"/>
      <c r="M23" s="9"/>
      <c r="N23" s="9"/>
      <c r="O23" s="9"/>
      <c r="P23" s="10" cm="1">
        <f t="array" ref="P23">M23-N23-O23</f>
        <v>0</v>
      </c>
      <c r="Q23" s="9"/>
      <c r="R23" s="9"/>
      <c r="S23" s="9"/>
      <c r="T23" s="9"/>
      <c r="U23" s="10" cm="1">
        <f t="array" ref="U23">R23-S23-T23</f>
        <v>0</v>
      </c>
      <c r="V23" s="11"/>
      <c r="W23" s="11"/>
    </row>
    <row r="24" spans="1:23" ht="15" customHeight="1" thickBot="1">
      <c r="A24" s="5">
        <v>46163</v>
      </c>
      <c r="B24" s="6"/>
      <c r="C24" s="6"/>
      <c r="D24" s="6"/>
      <c r="E24" s="6"/>
      <c r="F24" s="7" cm="1">
        <f t="array" ref="F24">C24-D24-E24</f>
        <v>0</v>
      </c>
      <c r="G24" s="8"/>
      <c r="H24" s="8"/>
      <c r="I24" s="8"/>
      <c r="J24" s="8"/>
      <c r="K24" s="7" cm="1">
        <f t="array" ref="K24">H24-I24-J24</f>
        <v>0</v>
      </c>
      <c r="L24" s="9"/>
      <c r="M24" s="9"/>
      <c r="N24" s="9"/>
      <c r="O24" s="9"/>
      <c r="P24" s="10" cm="1">
        <f t="array" ref="P24">M24-N24-O24</f>
        <v>0</v>
      </c>
      <c r="Q24" s="9"/>
      <c r="R24" s="9"/>
      <c r="S24" s="9"/>
      <c r="T24" s="9"/>
      <c r="U24" s="10" cm="1">
        <f t="array" ref="U24">R24-S24-T24</f>
        <v>0</v>
      </c>
      <c r="V24" s="11"/>
      <c r="W24" s="11"/>
    </row>
    <row r="25" spans="1:23" ht="15" customHeight="1" thickBot="1">
      <c r="A25" s="5">
        <v>46164</v>
      </c>
      <c r="B25" s="6"/>
      <c r="C25" s="6"/>
      <c r="D25" s="6"/>
      <c r="E25" s="6"/>
      <c r="F25" s="7" cm="1">
        <f t="array" ref="F25">C25-D25-E25</f>
        <v>0</v>
      </c>
      <c r="G25" s="8"/>
      <c r="H25" s="8"/>
      <c r="I25" s="8"/>
      <c r="J25" s="8"/>
      <c r="K25" s="7" cm="1">
        <f t="array" ref="K25">H25-I25-J25</f>
        <v>0</v>
      </c>
      <c r="L25" s="9"/>
      <c r="M25" s="9"/>
      <c r="N25" s="9"/>
      <c r="O25" s="9"/>
      <c r="P25" s="10" cm="1">
        <f t="array" ref="P25">M25-N25-O25</f>
        <v>0</v>
      </c>
      <c r="Q25" s="9"/>
      <c r="R25" s="9"/>
      <c r="S25" s="9"/>
      <c r="T25" s="9"/>
      <c r="U25" s="10" cm="1">
        <f t="array" ref="U25">R25-S25-T25</f>
        <v>0</v>
      </c>
      <c r="V25" s="11"/>
      <c r="W25" s="11"/>
    </row>
    <row r="26" spans="1:23" ht="15" customHeight="1" thickBot="1">
      <c r="A26" s="5">
        <v>46165</v>
      </c>
      <c r="B26" s="6"/>
      <c r="C26" s="6"/>
      <c r="D26" s="6"/>
      <c r="E26" s="6"/>
      <c r="F26" s="7" cm="1">
        <f t="array" ref="F26">C26-D26-E26</f>
        <v>0</v>
      </c>
      <c r="G26" s="8"/>
      <c r="H26" s="8"/>
      <c r="I26" s="8"/>
      <c r="J26" s="8"/>
      <c r="K26" s="7" cm="1">
        <f t="array" ref="K26">H26-I26-J26</f>
        <v>0</v>
      </c>
      <c r="L26" s="9"/>
      <c r="M26" s="9"/>
      <c r="N26" s="9"/>
      <c r="O26" s="9"/>
      <c r="P26" s="10" cm="1">
        <f t="array" ref="P26">M26-N26-O26</f>
        <v>0</v>
      </c>
      <c r="Q26" s="9"/>
      <c r="R26" s="9"/>
      <c r="S26" s="9"/>
      <c r="T26" s="9"/>
      <c r="U26" s="10" cm="1">
        <f t="array" ref="U26">R26-S26-T26</f>
        <v>0</v>
      </c>
      <c r="V26" s="11"/>
      <c r="W26" s="11"/>
    </row>
    <row r="27" spans="1:23" ht="15" customHeight="1" thickBot="1">
      <c r="A27" s="5">
        <v>46166</v>
      </c>
      <c r="B27" s="6"/>
      <c r="C27" s="6"/>
      <c r="D27" s="6"/>
      <c r="E27" s="6"/>
      <c r="F27" s="7" cm="1">
        <f t="array" ref="F27">C27-D27-E27</f>
        <v>0</v>
      </c>
      <c r="G27" s="8"/>
      <c r="H27" s="8"/>
      <c r="I27" s="8"/>
      <c r="J27" s="8"/>
      <c r="K27" s="7" cm="1">
        <f t="array" ref="K27">H27-I27-J27</f>
        <v>0</v>
      </c>
      <c r="L27" s="9"/>
      <c r="M27" s="9"/>
      <c r="N27" s="9"/>
      <c r="O27" s="9"/>
      <c r="P27" s="10" cm="1">
        <f t="array" ref="P27">M27-N27-O27</f>
        <v>0</v>
      </c>
      <c r="Q27" s="9"/>
      <c r="R27" s="9"/>
      <c r="S27" s="9"/>
      <c r="T27" s="9"/>
      <c r="U27" s="10" cm="1">
        <f t="array" ref="U27">R27-S27-T27</f>
        <v>0</v>
      </c>
      <c r="V27" s="11"/>
      <c r="W27" s="11"/>
    </row>
    <row r="28" spans="1:23" ht="15" customHeight="1" thickBot="1">
      <c r="A28" s="5">
        <v>46167</v>
      </c>
      <c r="B28" s="6"/>
      <c r="C28" s="6"/>
      <c r="D28" s="6"/>
      <c r="E28" s="6"/>
      <c r="F28" s="7" cm="1">
        <f t="array" ref="F28">C28-D28-E28</f>
        <v>0</v>
      </c>
      <c r="G28" s="8"/>
      <c r="H28" s="8"/>
      <c r="I28" s="8"/>
      <c r="J28" s="8"/>
      <c r="K28" s="7" cm="1">
        <f t="array" ref="K28">H28-I28-J28</f>
        <v>0</v>
      </c>
      <c r="L28" s="9"/>
      <c r="M28" s="9"/>
      <c r="N28" s="9"/>
      <c r="O28" s="9"/>
      <c r="P28" s="10" cm="1">
        <f t="array" ref="P28">M28-N28-O28</f>
        <v>0</v>
      </c>
      <c r="Q28" s="9"/>
      <c r="R28" s="9"/>
      <c r="S28" s="9"/>
      <c r="T28" s="9"/>
      <c r="U28" s="10" cm="1">
        <f t="array" ref="U28">R28-S28-T28</f>
        <v>0</v>
      </c>
      <c r="V28" s="11"/>
      <c r="W28" s="11"/>
    </row>
    <row r="29" spans="1:23" ht="15" customHeight="1" thickBot="1">
      <c r="A29" s="5">
        <v>46168</v>
      </c>
      <c r="B29" s="6"/>
      <c r="C29" s="6"/>
      <c r="D29" s="6"/>
      <c r="E29" s="6"/>
      <c r="F29" s="7" cm="1">
        <f t="array" ref="F29">C29-D29-E29</f>
        <v>0</v>
      </c>
      <c r="G29" s="8"/>
      <c r="H29" s="8"/>
      <c r="I29" s="8"/>
      <c r="J29" s="8"/>
      <c r="K29" s="7" cm="1">
        <f t="array" ref="K29">H29-I29-J29</f>
        <v>0</v>
      </c>
      <c r="L29" s="9"/>
      <c r="M29" s="9"/>
      <c r="N29" s="9"/>
      <c r="O29" s="9"/>
      <c r="P29" s="10" cm="1">
        <f t="array" ref="P29">M29-N29-O29</f>
        <v>0</v>
      </c>
      <c r="Q29" s="9"/>
      <c r="R29" s="9"/>
      <c r="S29" s="9"/>
      <c r="T29" s="9"/>
      <c r="U29" s="10" cm="1">
        <f t="array" ref="U29">R29-S29-T29</f>
        <v>0</v>
      </c>
      <c r="V29" s="11"/>
      <c r="W29" s="11"/>
    </row>
    <row r="30" spans="1:23" ht="15" customHeight="1" thickBot="1">
      <c r="A30" s="5">
        <v>46169</v>
      </c>
      <c r="B30" s="6"/>
      <c r="C30" s="6"/>
      <c r="D30" s="6"/>
      <c r="E30" s="6"/>
      <c r="F30" s="7" cm="1">
        <f t="array" ref="F30">C30-D30-E30</f>
        <v>0</v>
      </c>
      <c r="G30" s="8"/>
      <c r="H30" s="8"/>
      <c r="I30" s="8"/>
      <c r="J30" s="8"/>
      <c r="K30" s="7" cm="1">
        <f t="array" ref="K30">H30-I30-J30</f>
        <v>0</v>
      </c>
      <c r="L30" s="9"/>
      <c r="M30" s="9"/>
      <c r="N30" s="9"/>
      <c r="O30" s="9"/>
      <c r="P30" s="10" cm="1">
        <f t="array" ref="P30">M30-N30-O30</f>
        <v>0</v>
      </c>
      <c r="Q30" s="9"/>
      <c r="R30" s="9"/>
      <c r="S30" s="9"/>
      <c r="T30" s="9"/>
      <c r="U30" s="10" cm="1">
        <f t="array" ref="U30">R30-S30-T30</f>
        <v>0</v>
      </c>
      <c r="V30" s="11"/>
      <c r="W30" s="11"/>
    </row>
    <row r="31" spans="1:23" ht="15" customHeight="1" thickBot="1">
      <c r="A31" s="5">
        <v>46170</v>
      </c>
      <c r="B31" s="6"/>
      <c r="C31" s="6"/>
      <c r="D31" s="6"/>
      <c r="E31" s="6"/>
      <c r="F31" s="7" cm="1">
        <f t="array" ref="F31">C31-D31-E31</f>
        <v>0</v>
      </c>
      <c r="G31" s="8"/>
      <c r="H31" s="8"/>
      <c r="I31" s="8"/>
      <c r="J31" s="8"/>
      <c r="K31" s="7" cm="1">
        <f t="array" ref="K31">H31-I31-J31</f>
        <v>0</v>
      </c>
      <c r="L31" s="9"/>
      <c r="M31" s="9"/>
      <c r="N31" s="9"/>
      <c r="O31" s="9"/>
      <c r="P31" s="10" cm="1">
        <f t="array" ref="P31">M31-N31-O31</f>
        <v>0</v>
      </c>
      <c r="Q31" s="9"/>
      <c r="R31" s="9"/>
      <c r="S31" s="9"/>
      <c r="T31" s="9"/>
      <c r="U31" s="10" cm="1">
        <f t="array" ref="U31">R31-S31-T31</f>
        <v>0</v>
      </c>
      <c r="V31" s="11"/>
      <c r="W31" s="11"/>
    </row>
    <row r="32" spans="1:23" ht="15" customHeight="1" thickBot="1">
      <c r="A32" s="5">
        <v>46171</v>
      </c>
      <c r="B32" s="6"/>
      <c r="C32" s="6"/>
      <c r="D32" s="6"/>
      <c r="E32" s="6"/>
      <c r="F32" s="7" cm="1">
        <f t="array" ref="F32">C32-D32-E32</f>
        <v>0</v>
      </c>
      <c r="G32" s="8"/>
      <c r="H32" s="8"/>
      <c r="I32" s="8"/>
      <c r="J32" s="8"/>
      <c r="K32" s="7" cm="1">
        <f t="array" ref="K32">H32-I32-J32</f>
        <v>0</v>
      </c>
      <c r="L32" s="9"/>
      <c r="M32" s="9"/>
      <c r="N32" s="9"/>
      <c r="O32" s="9"/>
      <c r="P32" s="10" cm="1">
        <f t="array" ref="P32">M32-N32-O32</f>
        <v>0</v>
      </c>
      <c r="Q32" s="9"/>
      <c r="R32" s="9"/>
      <c r="S32" s="9"/>
      <c r="T32" s="9"/>
      <c r="U32" s="10" cm="1">
        <f t="array" ref="U32">R32-S32-T32</f>
        <v>0</v>
      </c>
      <c r="V32" s="11"/>
      <c r="W32" s="11"/>
    </row>
    <row r="33" spans="1:23" ht="15" customHeight="1" thickBot="1">
      <c r="A33" s="5">
        <v>46172</v>
      </c>
      <c r="B33" s="6"/>
      <c r="C33" s="6"/>
      <c r="D33" s="6"/>
      <c r="E33" s="6"/>
      <c r="F33" s="7" cm="1">
        <f t="array" ref="F33">C33-D33-E33</f>
        <v>0</v>
      </c>
      <c r="G33" s="8"/>
      <c r="H33" s="8"/>
      <c r="I33" s="8"/>
      <c r="J33" s="8"/>
      <c r="K33" s="7" cm="1">
        <f t="array" ref="K33">H33-I33-J33</f>
        <v>0</v>
      </c>
      <c r="L33" s="9"/>
      <c r="M33" s="9"/>
      <c r="N33" s="9"/>
      <c r="O33" s="9"/>
      <c r="P33" s="10" cm="1">
        <f t="array" ref="P33">M33-N33-O33</f>
        <v>0</v>
      </c>
      <c r="Q33" s="9"/>
      <c r="R33" s="9"/>
      <c r="S33" s="9"/>
      <c r="T33" s="9"/>
      <c r="U33" s="10" cm="1">
        <f t="array" ref="U33">R33-S33-T33</f>
        <v>0</v>
      </c>
      <c r="V33" s="11"/>
      <c r="W33" s="11"/>
    </row>
    <row r="34" spans="1:23" ht="15" customHeight="1" thickBot="1">
      <c r="A34" s="5">
        <v>46173</v>
      </c>
      <c r="B34" s="6"/>
      <c r="C34" s="6"/>
      <c r="D34" s="6"/>
      <c r="E34" s="6"/>
      <c r="F34" s="7" cm="1">
        <f t="array" ref="F34">C34-D34-E34</f>
        <v>0</v>
      </c>
      <c r="G34" s="8"/>
      <c r="H34" s="8"/>
      <c r="I34" s="8"/>
      <c r="J34" s="8"/>
      <c r="K34" s="7" cm="1">
        <f t="array" ref="K34">H34-I34-J34</f>
        <v>0</v>
      </c>
      <c r="L34" s="9"/>
      <c r="M34" s="9"/>
      <c r="N34" s="9"/>
      <c r="O34" s="9"/>
      <c r="P34" s="10" cm="1">
        <f t="array" ref="P34">M34-N34-O34</f>
        <v>0</v>
      </c>
      <c r="Q34" s="9"/>
      <c r="R34" s="9"/>
      <c r="S34" s="9"/>
      <c r="T34" s="9"/>
      <c r="U34" s="10" cm="1">
        <f t="array" ref="U34">R34-S34-T34</f>
        <v>0</v>
      </c>
      <c r="V34" s="11"/>
      <c r="W34" s="11"/>
    </row>
    <row r="35" spans="1:23" ht="15" customHeight="1" thickBot="1">
      <c r="A35" s="12" t="s">
        <v>12</v>
      </c>
      <c r="B35" s="13">
        <v>1134100</v>
      </c>
      <c r="C35" s="13" cm="1">
        <f t="array" ref="C35">SUM(C4:C34)</f>
        <v>0</v>
      </c>
      <c r="D35" s="13" cm="1">
        <f t="array" ref="D35">SUM(D4:D34)</f>
        <v>0</v>
      </c>
      <c r="E35" s="13" cm="1">
        <f t="array" ref="E35">SUM(E4:E34)</f>
        <v>0</v>
      </c>
      <c r="F35" s="14" cm="1">
        <f t="array" ref="F35">C35-D35-E35</f>
        <v>0</v>
      </c>
      <c r="G35" s="15">
        <v>1517550</v>
      </c>
      <c r="H35" s="15" cm="1">
        <f t="array" ref="H35">SUM(H4:H34)</f>
        <v>0</v>
      </c>
      <c r="I35" s="15" cm="1">
        <f t="array" ref="I35">SUM(I4:I34)</f>
        <v>0</v>
      </c>
      <c r="J35" s="15" cm="1">
        <f t="array" ref="J35">SUM(J4:J34)</f>
        <v>0</v>
      </c>
      <c r="K35" s="14" cm="1">
        <f t="array" ref="K35">H35-I35-J35</f>
        <v>0</v>
      </c>
      <c r="L35" s="16">
        <v>982800</v>
      </c>
      <c r="M35" s="16" cm="1">
        <f t="array" ref="M35">SUM(M4:M34)</f>
        <v>0</v>
      </c>
      <c r="N35" s="16" cm="1">
        <f t="array" ref="N35">SUM(N4:N34)</f>
        <v>0</v>
      </c>
      <c r="O35" s="16" cm="1">
        <f t="array" ref="O35">SUM(O4:O34)</f>
        <v>0</v>
      </c>
      <c r="P35" s="17" cm="1">
        <f t="array" ref="P35">M35-N35-O35</f>
        <v>0</v>
      </c>
      <c r="Q35" s="16"/>
      <c r="R35" s="16">
        <f>SUM(R4:R34)</f>
        <v>0</v>
      </c>
      <c r="S35" s="16" cm="1">
        <f t="array" ref="S35">SUM(S4:S34)</f>
        <v>0</v>
      </c>
      <c r="T35" s="16" cm="1">
        <f t="array" ref="T35">SUM(T4:T34)</f>
        <v>0</v>
      </c>
      <c r="U35" s="17" cm="1">
        <f t="array" ref="U35">R35-S35-T35</f>
        <v>0</v>
      </c>
      <c r="V35" s="11" cm="1">
        <f t="array" ref="V35">SUM(F35,K35,P35)</f>
        <v>0</v>
      </c>
      <c r="W35" s="11">
        <v>31500</v>
      </c>
    </row>
  </sheetData>
  <mergeCells count="23">
    <mergeCell ref="A1:A3"/>
    <mergeCell ref="B1:F1"/>
    <mergeCell ref="G1:K1"/>
    <mergeCell ref="L1:P1"/>
    <mergeCell ref="V1:V3"/>
    <mergeCell ref="N2:O2"/>
    <mergeCell ref="P2:P3"/>
    <mergeCell ref="G2:G3"/>
    <mergeCell ref="H2:H3"/>
    <mergeCell ref="I2:J2"/>
    <mergeCell ref="K2:K3"/>
    <mergeCell ref="L2:L3"/>
    <mergeCell ref="M2:M3"/>
    <mergeCell ref="Q1:U1"/>
    <mergeCell ref="Q2:Q3"/>
    <mergeCell ref="R2:R3"/>
    <mergeCell ref="W1:W3"/>
    <mergeCell ref="B2:B3"/>
    <mergeCell ref="C2:C3"/>
    <mergeCell ref="D2:E2"/>
    <mergeCell ref="F2:F3"/>
    <mergeCell ref="S2:T2"/>
    <mergeCell ref="U2:U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4"/>
  <sheetViews>
    <sheetView showGridLines="0" topLeftCell="C1" workbookViewId="0">
      <selection activeCell="Q1" sqref="Q1:U34"/>
    </sheetView>
  </sheetViews>
  <sheetFormatPr defaultColWidth="8.88671875" defaultRowHeight="14.4" customHeight="1"/>
  <cols>
    <col min="1" max="1" width="30.33203125" style="25" customWidth="1"/>
    <col min="2" max="2" width="17.33203125" style="25" customWidth="1"/>
    <col min="3" max="3" width="15.21875" style="25" customWidth="1"/>
    <col min="4" max="4" width="12.88671875" style="25" customWidth="1"/>
    <col min="5" max="5" width="13.21875" style="25" customWidth="1"/>
    <col min="6" max="6" width="14.44140625" style="25" customWidth="1"/>
    <col min="7" max="7" width="13.88671875" style="25" customWidth="1"/>
    <col min="8" max="8" width="13.33203125" style="25" customWidth="1"/>
    <col min="9" max="9" width="12.33203125" style="25" customWidth="1"/>
    <col min="10" max="10" width="11.88671875" style="25" customWidth="1"/>
    <col min="11" max="11" width="13.21875" style="25" customWidth="1"/>
    <col min="12" max="12" width="12.44140625" style="25" customWidth="1"/>
    <col min="13" max="13" width="15.21875" style="25" customWidth="1"/>
    <col min="14" max="14" width="12.44140625" style="25" customWidth="1"/>
    <col min="15" max="16" width="11.21875" style="25" customWidth="1"/>
    <col min="19" max="19" width="10.5546875" style="25" customWidth="1"/>
    <col min="20" max="20" width="13.109375" style="25" customWidth="1"/>
    <col min="21" max="21" width="12" style="25" customWidth="1"/>
    <col min="22" max="23" width="15.6640625" style="25" customWidth="1"/>
    <col min="24" max="16384" width="8.88671875" style="25"/>
  </cols>
  <sheetData>
    <row r="1" spans="1:23" ht="15" customHeight="1" thickBot="1">
      <c r="A1" s="47" t="s">
        <v>0</v>
      </c>
      <c r="B1" s="51" t="s">
        <v>1</v>
      </c>
      <c r="C1" s="52"/>
      <c r="D1" s="52"/>
      <c r="E1" s="52"/>
      <c r="F1" s="53"/>
      <c r="G1" s="60" t="s">
        <v>2</v>
      </c>
      <c r="H1" s="66"/>
      <c r="I1" s="66"/>
      <c r="J1" s="66"/>
      <c r="K1" s="61"/>
      <c r="L1" s="39" t="s">
        <v>3</v>
      </c>
      <c r="M1" s="65"/>
      <c r="N1" s="65"/>
      <c r="O1" s="65"/>
      <c r="P1" s="40"/>
      <c r="Q1" s="39" t="s">
        <v>14</v>
      </c>
      <c r="R1" s="65"/>
      <c r="S1" s="65"/>
      <c r="T1" s="65"/>
      <c r="U1" s="40"/>
      <c r="V1" s="67" t="s">
        <v>4</v>
      </c>
      <c r="W1" s="67" t="s">
        <v>5</v>
      </c>
    </row>
    <row r="2" spans="1:23" ht="15" customHeight="1" thickBot="1">
      <c r="A2" s="48"/>
      <c r="B2" s="49" t="s">
        <v>6</v>
      </c>
      <c r="C2" s="54" t="s">
        <v>7</v>
      </c>
      <c r="D2" s="51" t="s">
        <v>8</v>
      </c>
      <c r="E2" s="53"/>
      <c r="F2" s="33" t="s">
        <v>9</v>
      </c>
      <c r="G2" s="56" t="s">
        <v>6</v>
      </c>
      <c r="H2" s="58" t="s">
        <v>7</v>
      </c>
      <c r="I2" s="60" t="s">
        <v>8</v>
      </c>
      <c r="J2" s="61"/>
      <c r="K2" s="33" t="s">
        <v>9</v>
      </c>
      <c r="L2" s="35" t="s">
        <v>6</v>
      </c>
      <c r="M2" s="37" t="s">
        <v>7</v>
      </c>
      <c r="N2" s="39" t="s">
        <v>8</v>
      </c>
      <c r="O2" s="40"/>
      <c r="P2" s="33" t="s">
        <v>9</v>
      </c>
      <c r="Q2" s="35" t="s">
        <v>6</v>
      </c>
      <c r="R2" s="37" t="s">
        <v>7</v>
      </c>
      <c r="S2" s="39" t="s">
        <v>8</v>
      </c>
      <c r="T2" s="40"/>
      <c r="U2" s="33" t="s">
        <v>9</v>
      </c>
      <c r="V2" s="68"/>
      <c r="W2" s="68"/>
    </row>
    <row r="3" spans="1:23" ht="30" customHeight="1" thickBot="1">
      <c r="A3" s="48"/>
      <c r="B3" s="50"/>
      <c r="C3" s="55"/>
      <c r="D3" s="2" t="s">
        <v>10</v>
      </c>
      <c r="E3" s="2" t="s">
        <v>11</v>
      </c>
      <c r="F3" s="34"/>
      <c r="G3" s="57"/>
      <c r="H3" s="59"/>
      <c r="I3" s="3" t="s">
        <v>10</v>
      </c>
      <c r="J3" s="3" t="s">
        <v>11</v>
      </c>
      <c r="K3" s="34"/>
      <c r="L3" s="36"/>
      <c r="M3" s="38"/>
      <c r="N3" s="4" t="s">
        <v>10</v>
      </c>
      <c r="O3" s="4" t="s">
        <v>11</v>
      </c>
      <c r="P3" s="34"/>
      <c r="Q3" s="36"/>
      <c r="R3" s="38"/>
      <c r="S3" s="4" t="s">
        <v>10</v>
      </c>
      <c r="T3" s="4" t="s">
        <v>11</v>
      </c>
      <c r="U3" s="34"/>
      <c r="V3" s="68"/>
      <c r="W3" s="68"/>
    </row>
    <row r="4" spans="1:23" ht="15" customHeight="1" thickBot="1">
      <c r="A4" s="5">
        <v>46174</v>
      </c>
      <c r="B4" s="6"/>
      <c r="C4" s="6"/>
      <c r="D4" s="6"/>
      <c r="E4" s="6"/>
      <c r="F4" s="7" cm="1">
        <f t="array" ref="F4">C4-D4-E4</f>
        <v>0</v>
      </c>
      <c r="G4" s="8"/>
      <c r="H4" s="8"/>
      <c r="I4" s="8"/>
      <c r="J4" s="8"/>
      <c r="K4" s="7" cm="1">
        <f t="array" ref="K4">H4-I4-J4</f>
        <v>0</v>
      </c>
      <c r="L4" s="9"/>
      <c r="M4" s="9"/>
      <c r="N4" s="9"/>
      <c r="O4" s="9"/>
      <c r="P4" s="7" cm="1">
        <f t="array" ref="P4">M4-N4-O4</f>
        <v>0</v>
      </c>
      <c r="Q4" s="9"/>
      <c r="R4" s="9"/>
      <c r="S4" s="9"/>
      <c r="T4" s="9"/>
      <c r="U4" s="10" cm="1">
        <f t="array" ref="U4">R4-S4-T4</f>
        <v>0</v>
      </c>
      <c r="V4" s="26"/>
      <c r="W4" s="26"/>
    </row>
    <row r="5" spans="1:23" ht="15" customHeight="1" thickBot="1">
      <c r="A5" s="5">
        <v>46175</v>
      </c>
      <c r="B5" s="6"/>
      <c r="C5" s="6"/>
      <c r="D5" s="6"/>
      <c r="E5" s="6"/>
      <c r="F5" s="7" cm="1">
        <f t="array" ref="F5">C5-D5-E5</f>
        <v>0</v>
      </c>
      <c r="G5" s="8"/>
      <c r="H5" s="8"/>
      <c r="I5" s="8"/>
      <c r="J5" s="8"/>
      <c r="K5" s="7" cm="1">
        <f t="array" ref="K5">H5-I5-J5</f>
        <v>0</v>
      </c>
      <c r="L5" s="9"/>
      <c r="M5" s="9"/>
      <c r="N5" s="9"/>
      <c r="O5" s="9"/>
      <c r="P5" s="7" cm="1">
        <f t="array" ref="P5">M5-N5-O5</f>
        <v>0</v>
      </c>
      <c r="Q5" s="9"/>
      <c r="R5" s="9"/>
      <c r="S5" s="9"/>
      <c r="T5" s="9"/>
      <c r="U5" s="10" cm="1">
        <f t="array" ref="U5">R5-S5-T5</f>
        <v>0</v>
      </c>
      <c r="V5" s="26"/>
      <c r="W5" s="26"/>
    </row>
    <row r="6" spans="1:23" ht="15" customHeight="1" thickBot="1">
      <c r="A6" s="5">
        <v>46176</v>
      </c>
      <c r="B6" s="6"/>
      <c r="C6" s="6"/>
      <c r="D6" s="6"/>
      <c r="E6" s="6"/>
      <c r="F6" s="7" cm="1">
        <f t="array" ref="F6">C6-D6-E6</f>
        <v>0</v>
      </c>
      <c r="G6" s="8"/>
      <c r="H6" s="8"/>
      <c r="I6" s="8"/>
      <c r="J6" s="8"/>
      <c r="K6" s="7" cm="1">
        <f t="array" ref="K6">H6-I6-J6</f>
        <v>0</v>
      </c>
      <c r="L6" s="9"/>
      <c r="M6" s="9"/>
      <c r="N6" s="9"/>
      <c r="O6" s="9"/>
      <c r="P6" s="7" cm="1">
        <f t="array" ref="P6">M6-N6-O6</f>
        <v>0</v>
      </c>
      <c r="Q6" s="9"/>
      <c r="R6" s="9"/>
      <c r="S6" s="9"/>
      <c r="T6" s="9"/>
      <c r="U6" s="10" cm="1">
        <f t="array" ref="U6">R6-S6-T6</f>
        <v>0</v>
      </c>
      <c r="V6" s="26"/>
      <c r="W6" s="26"/>
    </row>
    <row r="7" spans="1:23" ht="15" customHeight="1" thickBot="1">
      <c r="A7" s="5">
        <v>46177</v>
      </c>
      <c r="B7" s="6"/>
      <c r="C7" s="6"/>
      <c r="D7" s="6"/>
      <c r="E7" s="6"/>
      <c r="F7" s="7" cm="1">
        <f t="array" ref="F7">C7-D7-E7</f>
        <v>0</v>
      </c>
      <c r="G7" s="8"/>
      <c r="H7" s="8"/>
      <c r="I7" s="8"/>
      <c r="J7" s="8"/>
      <c r="K7" s="7" cm="1">
        <f t="array" ref="K7">H7-I7-J7</f>
        <v>0</v>
      </c>
      <c r="L7" s="9"/>
      <c r="M7" s="9"/>
      <c r="N7" s="9"/>
      <c r="O7" s="9"/>
      <c r="P7" s="7" cm="1">
        <f t="array" ref="P7">M7-N7-O7</f>
        <v>0</v>
      </c>
      <c r="Q7" s="9"/>
      <c r="R7" s="9"/>
      <c r="S7" s="9"/>
      <c r="T7" s="9"/>
      <c r="U7" s="10" cm="1">
        <f t="array" ref="U7">R7-S7-T7</f>
        <v>0</v>
      </c>
      <c r="V7" s="26"/>
      <c r="W7" s="26"/>
    </row>
    <row r="8" spans="1:23" ht="15" customHeight="1" thickBot="1">
      <c r="A8" s="5">
        <v>46178</v>
      </c>
      <c r="B8" s="6"/>
      <c r="C8" s="6"/>
      <c r="D8" s="6"/>
      <c r="E8" s="6"/>
      <c r="F8" s="7" cm="1">
        <f t="array" ref="F8">C8-D8-E8</f>
        <v>0</v>
      </c>
      <c r="G8" s="8"/>
      <c r="H8" s="8"/>
      <c r="I8" s="8"/>
      <c r="J8" s="8"/>
      <c r="K8" s="7" cm="1">
        <f t="array" ref="K8">H8-I8-J8</f>
        <v>0</v>
      </c>
      <c r="L8" s="9"/>
      <c r="M8" s="9"/>
      <c r="N8" s="9"/>
      <c r="O8" s="9"/>
      <c r="P8" s="7" cm="1">
        <f t="array" ref="P8">M8-N8-O8</f>
        <v>0</v>
      </c>
      <c r="Q8" s="9"/>
      <c r="R8" s="9"/>
      <c r="S8" s="9"/>
      <c r="T8" s="9"/>
      <c r="U8" s="10" cm="1">
        <f t="array" ref="U8">R8-S8-T8</f>
        <v>0</v>
      </c>
      <c r="V8" s="26"/>
      <c r="W8" s="26"/>
    </row>
    <row r="9" spans="1:23" ht="15" customHeight="1" thickBot="1">
      <c r="A9" s="5">
        <v>46179</v>
      </c>
      <c r="B9" s="6"/>
      <c r="C9" s="6"/>
      <c r="D9" s="6"/>
      <c r="E9" s="6"/>
      <c r="F9" s="7" cm="1">
        <f t="array" ref="F9">C9-D9-E9</f>
        <v>0</v>
      </c>
      <c r="G9" s="8"/>
      <c r="H9" s="8"/>
      <c r="I9" s="8"/>
      <c r="J9" s="8"/>
      <c r="K9" s="7" cm="1">
        <f t="array" ref="K9">H9-I9-J9</f>
        <v>0</v>
      </c>
      <c r="L9" s="9"/>
      <c r="M9" s="9"/>
      <c r="N9" s="9"/>
      <c r="O9" s="9"/>
      <c r="P9" s="7" cm="1">
        <f t="array" ref="P9">M9-N9-O9</f>
        <v>0</v>
      </c>
      <c r="Q9" s="9"/>
      <c r="R9" s="9"/>
      <c r="S9" s="9"/>
      <c r="T9" s="9"/>
      <c r="U9" s="10" cm="1">
        <f t="array" ref="U9">R9-S9-T9</f>
        <v>0</v>
      </c>
      <c r="V9" s="26"/>
      <c r="W9" s="26"/>
    </row>
    <row r="10" spans="1:23" ht="15" customHeight="1" thickBot="1">
      <c r="A10" s="5">
        <v>46180</v>
      </c>
      <c r="B10" s="6"/>
      <c r="C10" s="6"/>
      <c r="D10" s="6"/>
      <c r="E10" s="6"/>
      <c r="F10" s="7" cm="1">
        <f t="array" ref="F10">C10-D10-E10</f>
        <v>0</v>
      </c>
      <c r="G10" s="8"/>
      <c r="H10" s="8"/>
      <c r="I10" s="8"/>
      <c r="J10" s="8"/>
      <c r="K10" s="7" cm="1">
        <f t="array" ref="K10">H10-I10-J10</f>
        <v>0</v>
      </c>
      <c r="L10" s="9"/>
      <c r="M10" s="9"/>
      <c r="N10" s="9"/>
      <c r="O10" s="9"/>
      <c r="P10" s="7" cm="1">
        <f t="array" ref="P10">M10-N10-O10</f>
        <v>0</v>
      </c>
      <c r="Q10" s="9"/>
      <c r="R10" s="9"/>
      <c r="S10" s="9"/>
      <c r="T10" s="9"/>
      <c r="U10" s="10" cm="1">
        <f t="array" ref="U10">R10-S10-T10</f>
        <v>0</v>
      </c>
      <c r="V10" s="26"/>
      <c r="W10" s="26"/>
    </row>
    <row r="11" spans="1:23" ht="15" customHeight="1" thickBot="1">
      <c r="A11" s="5">
        <v>46181</v>
      </c>
      <c r="B11" s="6"/>
      <c r="C11" s="6"/>
      <c r="D11" s="6"/>
      <c r="E11" s="6"/>
      <c r="F11" s="7" cm="1">
        <f t="array" ref="F11">C11-D11-E11</f>
        <v>0</v>
      </c>
      <c r="G11" s="8"/>
      <c r="H11" s="8"/>
      <c r="I11" s="8"/>
      <c r="J11" s="8"/>
      <c r="K11" s="7" cm="1">
        <f t="array" ref="K11">H11-I11-J11</f>
        <v>0</v>
      </c>
      <c r="L11" s="9"/>
      <c r="M11" s="9"/>
      <c r="N11" s="9"/>
      <c r="O11" s="9"/>
      <c r="P11" s="7" cm="1">
        <f t="array" ref="P11">M11-N11-O11</f>
        <v>0</v>
      </c>
      <c r="Q11" s="9"/>
      <c r="R11" s="9"/>
      <c r="S11" s="9"/>
      <c r="T11" s="9"/>
      <c r="U11" s="10" cm="1">
        <f t="array" ref="U11">R11-S11-T11</f>
        <v>0</v>
      </c>
      <c r="V11" s="26"/>
      <c r="W11" s="26"/>
    </row>
    <row r="12" spans="1:23" ht="15" customHeight="1" thickBot="1">
      <c r="A12" s="5">
        <v>46182</v>
      </c>
      <c r="B12" s="6"/>
      <c r="C12" s="6"/>
      <c r="D12" s="6"/>
      <c r="E12" s="6"/>
      <c r="F12" s="7" cm="1">
        <f t="array" ref="F12">C12-D12-E12</f>
        <v>0</v>
      </c>
      <c r="G12" s="8"/>
      <c r="H12" s="8"/>
      <c r="I12" s="8"/>
      <c r="J12" s="8"/>
      <c r="K12" s="7" cm="1">
        <f t="array" ref="K12">H12-I12-J12</f>
        <v>0</v>
      </c>
      <c r="L12" s="9"/>
      <c r="M12" s="9"/>
      <c r="N12" s="9"/>
      <c r="O12" s="9"/>
      <c r="P12" s="7" cm="1">
        <f t="array" ref="P12">M12-N12-O12</f>
        <v>0</v>
      </c>
      <c r="Q12" s="9"/>
      <c r="R12" s="9"/>
      <c r="S12" s="9"/>
      <c r="T12" s="9"/>
      <c r="U12" s="10" cm="1">
        <f t="array" ref="U12">R12-S12-T12</f>
        <v>0</v>
      </c>
      <c r="V12" s="26"/>
      <c r="W12" s="26"/>
    </row>
    <row r="13" spans="1:23" ht="15" customHeight="1" thickBot="1">
      <c r="A13" s="5">
        <v>46183</v>
      </c>
      <c r="B13" s="6"/>
      <c r="C13" s="6"/>
      <c r="D13" s="6"/>
      <c r="E13" s="6"/>
      <c r="F13" s="7" cm="1">
        <f t="array" ref="F13">C13-D13-E13</f>
        <v>0</v>
      </c>
      <c r="G13" s="8"/>
      <c r="H13" s="8"/>
      <c r="I13" s="8"/>
      <c r="J13" s="8"/>
      <c r="K13" s="7" cm="1">
        <f t="array" ref="K13">H13-I13-J13</f>
        <v>0</v>
      </c>
      <c r="L13" s="9"/>
      <c r="M13" s="9"/>
      <c r="N13" s="9"/>
      <c r="O13" s="9"/>
      <c r="P13" s="7" cm="1">
        <f t="array" ref="P13">M13-N13-O13</f>
        <v>0</v>
      </c>
      <c r="Q13" s="9"/>
      <c r="R13" s="9"/>
      <c r="S13" s="9"/>
      <c r="T13" s="9"/>
      <c r="U13" s="10" cm="1">
        <f t="array" ref="U13">R13-S13-T13</f>
        <v>0</v>
      </c>
      <c r="V13" s="26"/>
      <c r="W13" s="26"/>
    </row>
    <row r="14" spans="1:23" ht="15" customHeight="1" thickBot="1">
      <c r="A14" s="5">
        <v>46184</v>
      </c>
      <c r="B14" s="6"/>
      <c r="C14" s="6"/>
      <c r="D14" s="6"/>
      <c r="E14" s="6"/>
      <c r="F14" s="7" cm="1">
        <f t="array" ref="F14">C14-D14-E14</f>
        <v>0</v>
      </c>
      <c r="G14" s="8"/>
      <c r="H14" s="8"/>
      <c r="I14" s="8"/>
      <c r="J14" s="8"/>
      <c r="K14" s="7" cm="1">
        <f t="array" ref="K14">H14-I14-J14</f>
        <v>0</v>
      </c>
      <c r="L14" s="9"/>
      <c r="M14" s="9"/>
      <c r="N14" s="9"/>
      <c r="O14" s="9"/>
      <c r="P14" s="7" cm="1">
        <f t="array" ref="P14">M14-N14-O14</f>
        <v>0</v>
      </c>
      <c r="Q14" s="9"/>
      <c r="R14" s="9"/>
      <c r="S14" s="9"/>
      <c r="T14" s="9"/>
      <c r="U14" s="10" cm="1">
        <f t="array" ref="U14">R14-S14-T14</f>
        <v>0</v>
      </c>
      <c r="V14" s="26"/>
      <c r="W14" s="26"/>
    </row>
    <row r="15" spans="1:23" ht="15" customHeight="1" thickBot="1">
      <c r="A15" s="5">
        <v>46185</v>
      </c>
      <c r="B15" s="6"/>
      <c r="C15" s="6"/>
      <c r="D15" s="6"/>
      <c r="E15" s="6"/>
      <c r="F15" s="7" cm="1">
        <f t="array" ref="F15">C15-D15-E15</f>
        <v>0</v>
      </c>
      <c r="G15" s="8"/>
      <c r="H15" s="8"/>
      <c r="I15" s="8"/>
      <c r="J15" s="8"/>
      <c r="K15" s="7" cm="1">
        <f t="array" ref="K15">H15-I15-J15</f>
        <v>0</v>
      </c>
      <c r="L15" s="9"/>
      <c r="M15" s="9"/>
      <c r="N15" s="9"/>
      <c r="O15" s="9"/>
      <c r="P15" s="7" cm="1">
        <f t="array" ref="P15">M15-N15-O15</f>
        <v>0</v>
      </c>
      <c r="Q15" s="9"/>
      <c r="R15" s="9"/>
      <c r="S15" s="9"/>
      <c r="T15" s="9"/>
      <c r="U15" s="10" cm="1">
        <f t="array" ref="U15">R15-S15-T15</f>
        <v>0</v>
      </c>
      <c r="V15" s="26"/>
      <c r="W15" s="26"/>
    </row>
    <row r="16" spans="1:23" ht="15" customHeight="1" thickBot="1">
      <c r="A16" s="5">
        <v>46186</v>
      </c>
      <c r="B16" s="6"/>
      <c r="C16" s="6"/>
      <c r="D16" s="6"/>
      <c r="E16" s="6"/>
      <c r="F16" s="7" cm="1">
        <f t="array" ref="F16">C16-D16-E16</f>
        <v>0</v>
      </c>
      <c r="G16" s="8"/>
      <c r="H16" s="8"/>
      <c r="I16" s="8"/>
      <c r="J16" s="8"/>
      <c r="K16" s="7" cm="1">
        <f t="array" ref="K16">H16-I16-J16</f>
        <v>0</v>
      </c>
      <c r="L16" s="9"/>
      <c r="M16" s="9"/>
      <c r="N16" s="9"/>
      <c r="O16" s="9"/>
      <c r="P16" s="7" cm="1">
        <f t="array" ref="P16">M16-N16-O16</f>
        <v>0</v>
      </c>
      <c r="Q16" s="9"/>
      <c r="R16" s="9"/>
      <c r="S16" s="9"/>
      <c r="T16" s="9"/>
      <c r="U16" s="10" cm="1">
        <f t="array" ref="U16">R16-S16-T16</f>
        <v>0</v>
      </c>
      <c r="V16" s="26"/>
      <c r="W16" s="26"/>
    </row>
    <row r="17" spans="1:23" ht="15" customHeight="1" thickBot="1">
      <c r="A17" s="5">
        <v>46187</v>
      </c>
      <c r="B17" s="6"/>
      <c r="C17" s="6"/>
      <c r="D17" s="6"/>
      <c r="E17" s="6"/>
      <c r="F17" s="7" cm="1">
        <f t="array" ref="F17">C17-D17-E17</f>
        <v>0</v>
      </c>
      <c r="G17" s="8"/>
      <c r="H17" s="8"/>
      <c r="I17" s="8"/>
      <c r="J17" s="8"/>
      <c r="K17" s="7" cm="1">
        <f t="array" ref="K17">H17-I17-J17</f>
        <v>0</v>
      </c>
      <c r="L17" s="9"/>
      <c r="M17" s="9"/>
      <c r="N17" s="9"/>
      <c r="O17" s="9"/>
      <c r="P17" s="7" cm="1">
        <f t="array" ref="P17">M17-N17-O17</f>
        <v>0</v>
      </c>
      <c r="Q17" s="9"/>
      <c r="R17" s="9"/>
      <c r="S17" s="9"/>
      <c r="T17" s="9"/>
      <c r="U17" s="10" cm="1">
        <f t="array" ref="U17">R17-S17-T17</f>
        <v>0</v>
      </c>
      <c r="V17" s="26"/>
      <c r="W17" s="26"/>
    </row>
    <row r="18" spans="1:23" ht="15" customHeight="1" thickBot="1">
      <c r="A18" s="5">
        <v>46188</v>
      </c>
      <c r="B18" s="6"/>
      <c r="C18" s="6"/>
      <c r="D18" s="6"/>
      <c r="E18" s="6"/>
      <c r="F18" s="7" cm="1">
        <f t="array" ref="F18">C18-D18-E18</f>
        <v>0</v>
      </c>
      <c r="G18" s="8"/>
      <c r="H18" s="8"/>
      <c r="I18" s="8"/>
      <c r="J18" s="8"/>
      <c r="K18" s="7" cm="1">
        <f t="array" ref="K18">H18-I18-J18</f>
        <v>0</v>
      </c>
      <c r="L18" s="9"/>
      <c r="M18" s="9"/>
      <c r="N18" s="9"/>
      <c r="O18" s="9"/>
      <c r="P18" s="7" cm="1">
        <f t="array" ref="P18">M18-N18-O18</f>
        <v>0</v>
      </c>
      <c r="Q18" s="9"/>
      <c r="R18" s="9"/>
      <c r="S18" s="9"/>
      <c r="T18" s="9"/>
      <c r="U18" s="10" cm="1">
        <f t="array" ref="U18">R18-S18-T18</f>
        <v>0</v>
      </c>
      <c r="V18" s="26"/>
      <c r="W18" s="26"/>
    </row>
    <row r="19" spans="1:23" ht="15" customHeight="1" thickBot="1">
      <c r="A19" s="5">
        <v>46189</v>
      </c>
      <c r="B19" s="6"/>
      <c r="C19" s="6"/>
      <c r="D19" s="6"/>
      <c r="E19" s="6"/>
      <c r="F19" s="7" cm="1">
        <f t="array" ref="F19">C19-D19-E19</f>
        <v>0</v>
      </c>
      <c r="G19" s="8"/>
      <c r="H19" s="8"/>
      <c r="I19" s="8"/>
      <c r="J19" s="8"/>
      <c r="K19" s="7" cm="1">
        <f t="array" ref="K19">H19-I19-J19</f>
        <v>0</v>
      </c>
      <c r="L19" s="9"/>
      <c r="M19" s="9"/>
      <c r="N19" s="9"/>
      <c r="O19" s="9"/>
      <c r="P19" s="7" cm="1">
        <f t="array" ref="P19">M19-N19-O19</f>
        <v>0</v>
      </c>
      <c r="Q19" s="9"/>
      <c r="R19" s="9"/>
      <c r="S19" s="9"/>
      <c r="T19" s="9"/>
      <c r="U19" s="10" cm="1">
        <f t="array" ref="U19">R19-S19-T19</f>
        <v>0</v>
      </c>
      <c r="V19" s="26"/>
      <c r="W19" s="26"/>
    </row>
    <row r="20" spans="1:23" ht="15" customHeight="1" thickBot="1">
      <c r="A20" s="5">
        <v>46190</v>
      </c>
      <c r="B20" s="6"/>
      <c r="C20" s="6"/>
      <c r="D20" s="6"/>
      <c r="E20" s="6"/>
      <c r="F20" s="7" cm="1">
        <f t="array" ref="F20">C20-D20-E20</f>
        <v>0</v>
      </c>
      <c r="G20" s="8"/>
      <c r="H20" s="8"/>
      <c r="I20" s="8"/>
      <c r="J20" s="8"/>
      <c r="K20" s="7" cm="1">
        <f t="array" ref="K20">H20-I20-J20</f>
        <v>0</v>
      </c>
      <c r="L20" s="9"/>
      <c r="M20" s="9"/>
      <c r="N20" s="9"/>
      <c r="O20" s="9"/>
      <c r="P20" s="7" cm="1">
        <f t="array" ref="P20">M20-N20-O20</f>
        <v>0</v>
      </c>
      <c r="Q20" s="9"/>
      <c r="R20" s="9"/>
      <c r="S20" s="9"/>
      <c r="T20" s="9"/>
      <c r="U20" s="10" cm="1">
        <f t="array" ref="U20">R20-S20-T20</f>
        <v>0</v>
      </c>
      <c r="V20" s="26"/>
      <c r="W20" s="26"/>
    </row>
    <row r="21" spans="1:23" ht="15" customHeight="1" thickBot="1">
      <c r="A21" s="5">
        <v>46191</v>
      </c>
      <c r="B21" s="6"/>
      <c r="C21" s="6"/>
      <c r="D21" s="6"/>
      <c r="E21" s="6"/>
      <c r="F21" s="7" cm="1">
        <f t="array" ref="F21">C21-D21-E21</f>
        <v>0</v>
      </c>
      <c r="G21" s="8"/>
      <c r="H21" s="8"/>
      <c r="I21" s="8"/>
      <c r="J21" s="8"/>
      <c r="K21" s="7" cm="1">
        <f t="array" ref="K21">H21-I21-J21</f>
        <v>0</v>
      </c>
      <c r="L21" s="9"/>
      <c r="M21" s="9"/>
      <c r="N21" s="9"/>
      <c r="O21" s="9"/>
      <c r="P21" s="7" cm="1">
        <f t="array" ref="P21">M21-N21-O21</f>
        <v>0</v>
      </c>
      <c r="Q21" s="9"/>
      <c r="R21" s="9"/>
      <c r="S21" s="9"/>
      <c r="T21" s="9"/>
      <c r="U21" s="10" cm="1">
        <f t="array" ref="U21">R21-S21-T21</f>
        <v>0</v>
      </c>
      <c r="V21" s="26"/>
      <c r="W21" s="26"/>
    </row>
    <row r="22" spans="1:23" ht="15" customHeight="1" thickBot="1">
      <c r="A22" s="5">
        <v>46192</v>
      </c>
      <c r="B22" s="6"/>
      <c r="C22" s="6"/>
      <c r="D22" s="6"/>
      <c r="E22" s="6"/>
      <c r="F22" s="7" cm="1">
        <f t="array" ref="F22">C22-D22-E22</f>
        <v>0</v>
      </c>
      <c r="G22" s="8"/>
      <c r="H22" s="8"/>
      <c r="I22" s="8"/>
      <c r="J22" s="8"/>
      <c r="K22" s="7" cm="1">
        <f t="array" ref="K22">H22-I22-J22</f>
        <v>0</v>
      </c>
      <c r="L22" s="9"/>
      <c r="M22" s="9"/>
      <c r="N22" s="9"/>
      <c r="O22" s="9"/>
      <c r="P22" s="7" cm="1">
        <f t="array" ref="P22">M22-N22-O22</f>
        <v>0</v>
      </c>
      <c r="Q22" s="9"/>
      <c r="R22" s="9"/>
      <c r="S22" s="9"/>
      <c r="T22" s="9"/>
      <c r="U22" s="10" cm="1">
        <f t="array" ref="U22">R22-S22-T22</f>
        <v>0</v>
      </c>
      <c r="V22" s="26"/>
      <c r="W22" s="26"/>
    </row>
    <row r="23" spans="1:23" ht="15" customHeight="1" thickBot="1">
      <c r="A23" s="5">
        <v>46193</v>
      </c>
      <c r="B23" s="6"/>
      <c r="C23" s="6"/>
      <c r="D23" s="6"/>
      <c r="E23" s="6"/>
      <c r="F23" s="7" cm="1">
        <f t="array" ref="F23">C23-D23-E23</f>
        <v>0</v>
      </c>
      <c r="G23" s="8"/>
      <c r="H23" s="8"/>
      <c r="I23" s="8"/>
      <c r="J23" s="8"/>
      <c r="K23" s="7" cm="1">
        <f t="array" ref="K23">H23-I23-J23</f>
        <v>0</v>
      </c>
      <c r="L23" s="9"/>
      <c r="M23" s="9"/>
      <c r="N23" s="9"/>
      <c r="O23" s="9"/>
      <c r="P23" s="7" cm="1">
        <f t="array" ref="P23">M23-N23-O23</f>
        <v>0</v>
      </c>
      <c r="Q23" s="9"/>
      <c r="R23" s="9"/>
      <c r="S23" s="9"/>
      <c r="T23" s="9"/>
      <c r="U23" s="10" cm="1">
        <f t="array" ref="U23">R23-S23-T23</f>
        <v>0</v>
      </c>
      <c r="V23" s="26"/>
      <c r="W23" s="26"/>
    </row>
    <row r="24" spans="1:23" ht="15" customHeight="1" thickBot="1">
      <c r="A24" s="5">
        <v>46194</v>
      </c>
      <c r="B24" s="6"/>
      <c r="C24" s="6"/>
      <c r="D24" s="6"/>
      <c r="E24" s="6"/>
      <c r="F24" s="7" cm="1">
        <f t="array" ref="F24">C24-D24-E24</f>
        <v>0</v>
      </c>
      <c r="G24" s="8"/>
      <c r="H24" s="8"/>
      <c r="I24" s="8"/>
      <c r="J24" s="8"/>
      <c r="K24" s="7" cm="1">
        <f t="array" ref="K24">H24-I24-J24</f>
        <v>0</v>
      </c>
      <c r="L24" s="9"/>
      <c r="M24" s="9"/>
      <c r="N24" s="9"/>
      <c r="O24" s="9"/>
      <c r="P24" s="7" cm="1">
        <f t="array" ref="P24">M24-N24-O24</f>
        <v>0</v>
      </c>
      <c r="Q24" s="9"/>
      <c r="R24" s="9"/>
      <c r="S24" s="9"/>
      <c r="T24" s="9"/>
      <c r="U24" s="10" cm="1">
        <f t="array" ref="U24">R24-S24-T24</f>
        <v>0</v>
      </c>
      <c r="V24" s="26"/>
      <c r="W24" s="26"/>
    </row>
    <row r="25" spans="1:23" ht="15" customHeight="1" thickBot="1">
      <c r="A25" s="5">
        <v>46195</v>
      </c>
      <c r="B25" s="6"/>
      <c r="C25" s="6"/>
      <c r="D25" s="6"/>
      <c r="E25" s="6"/>
      <c r="F25" s="7" cm="1">
        <f t="array" ref="F25">C25-D25-E25</f>
        <v>0</v>
      </c>
      <c r="G25" s="8"/>
      <c r="H25" s="8"/>
      <c r="I25" s="8"/>
      <c r="J25" s="8"/>
      <c r="K25" s="7" cm="1">
        <f t="array" ref="K25">H25-I25-J25</f>
        <v>0</v>
      </c>
      <c r="L25" s="9"/>
      <c r="M25" s="9"/>
      <c r="N25" s="9"/>
      <c r="O25" s="9"/>
      <c r="P25" s="7" cm="1">
        <f t="array" ref="P25">M25-N25-O25</f>
        <v>0</v>
      </c>
      <c r="Q25" s="9"/>
      <c r="R25" s="9"/>
      <c r="S25" s="9"/>
      <c r="T25" s="9"/>
      <c r="U25" s="10" cm="1">
        <f t="array" ref="U25">R25-S25-T25</f>
        <v>0</v>
      </c>
      <c r="V25" s="26"/>
      <c r="W25" s="26"/>
    </row>
    <row r="26" spans="1:23" ht="15" customHeight="1" thickBot="1">
      <c r="A26" s="5">
        <v>46196</v>
      </c>
      <c r="B26" s="6"/>
      <c r="C26" s="6"/>
      <c r="D26" s="6"/>
      <c r="E26" s="6"/>
      <c r="F26" s="7" cm="1">
        <f t="array" ref="F26">C26-D26-E26</f>
        <v>0</v>
      </c>
      <c r="G26" s="8"/>
      <c r="H26" s="8"/>
      <c r="I26" s="8"/>
      <c r="J26" s="8"/>
      <c r="K26" s="7" cm="1">
        <f t="array" ref="K26">H26-I26-J26</f>
        <v>0</v>
      </c>
      <c r="L26" s="9"/>
      <c r="M26" s="9"/>
      <c r="N26" s="9"/>
      <c r="O26" s="9"/>
      <c r="P26" s="7" cm="1">
        <f t="array" ref="P26">M26-N26-O26</f>
        <v>0</v>
      </c>
      <c r="Q26" s="9"/>
      <c r="R26" s="9"/>
      <c r="S26" s="9"/>
      <c r="T26" s="9"/>
      <c r="U26" s="10" cm="1">
        <f t="array" ref="U26">R26-S26-T26</f>
        <v>0</v>
      </c>
      <c r="V26" s="26"/>
      <c r="W26" s="26"/>
    </row>
    <row r="27" spans="1:23" ht="15" customHeight="1" thickBot="1">
      <c r="A27" s="5">
        <v>46197</v>
      </c>
      <c r="B27" s="6"/>
      <c r="C27" s="6"/>
      <c r="D27" s="6"/>
      <c r="E27" s="6"/>
      <c r="F27" s="7" cm="1">
        <f t="array" ref="F27">C27-D27-E27</f>
        <v>0</v>
      </c>
      <c r="G27" s="8"/>
      <c r="H27" s="8"/>
      <c r="I27" s="8"/>
      <c r="J27" s="8"/>
      <c r="K27" s="7" cm="1">
        <f t="array" ref="K27">H27-I27-J27</f>
        <v>0</v>
      </c>
      <c r="L27" s="9"/>
      <c r="M27" s="9"/>
      <c r="N27" s="9"/>
      <c r="O27" s="9"/>
      <c r="P27" s="7" cm="1">
        <f t="array" ref="P27">M27-N27-O27</f>
        <v>0</v>
      </c>
      <c r="Q27" s="9"/>
      <c r="R27" s="9"/>
      <c r="S27" s="9"/>
      <c r="T27" s="9"/>
      <c r="U27" s="10" cm="1">
        <f t="array" ref="U27">R27-S27-T27</f>
        <v>0</v>
      </c>
      <c r="V27" s="26"/>
      <c r="W27" s="26"/>
    </row>
    <row r="28" spans="1:23" ht="15" customHeight="1" thickBot="1">
      <c r="A28" s="5">
        <v>46198</v>
      </c>
      <c r="B28" s="6"/>
      <c r="C28" s="6"/>
      <c r="D28" s="6"/>
      <c r="E28" s="6"/>
      <c r="F28" s="7" cm="1">
        <f t="array" ref="F28">C28-D28-E28</f>
        <v>0</v>
      </c>
      <c r="G28" s="8"/>
      <c r="H28" s="8"/>
      <c r="I28" s="8"/>
      <c r="J28" s="8"/>
      <c r="K28" s="7" cm="1">
        <f t="array" ref="K28">H28-I28-J28</f>
        <v>0</v>
      </c>
      <c r="L28" s="9"/>
      <c r="M28" s="9"/>
      <c r="N28" s="9"/>
      <c r="O28" s="9"/>
      <c r="P28" s="7" cm="1">
        <f t="array" ref="P28">M28-N28-O28</f>
        <v>0</v>
      </c>
      <c r="Q28" s="9"/>
      <c r="R28" s="9"/>
      <c r="S28" s="9"/>
      <c r="T28" s="9"/>
      <c r="U28" s="10" cm="1">
        <f t="array" ref="U28">R28-S28-T28</f>
        <v>0</v>
      </c>
      <c r="V28" s="26"/>
      <c r="W28" s="26"/>
    </row>
    <row r="29" spans="1:23" ht="15" customHeight="1" thickBot="1">
      <c r="A29" s="5">
        <v>46199</v>
      </c>
      <c r="B29" s="6"/>
      <c r="C29" s="6"/>
      <c r="D29" s="6"/>
      <c r="E29" s="6"/>
      <c r="F29" s="7" cm="1">
        <f t="array" ref="F29">C29-D29-E29</f>
        <v>0</v>
      </c>
      <c r="G29" s="8"/>
      <c r="H29" s="8"/>
      <c r="I29" s="8"/>
      <c r="J29" s="8"/>
      <c r="K29" s="7" cm="1">
        <f t="array" ref="K29">H29-I29-J29</f>
        <v>0</v>
      </c>
      <c r="L29" s="9"/>
      <c r="M29" s="9"/>
      <c r="N29" s="9"/>
      <c r="O29" s="9"/>
      <c r="P29" s="7" cm="1">
        <f t="array" ref="P29">M29-N29-O29</f>
        <v>0</v>
      </c>
      <c r="Q29" s="9"/>
      <c r="R29" s="9"/>
      <c r="S29" s="9"/>
      <c r="T29" s="9"/>
      <c r="U29" s="10" cm="1">
        <f t="array" ref="U29">R29-S29-T29</f>
        <v>0</v>
      </c>
      <c r="V29" s="26"/>
      <c r="W29" s="26"/>
    </row>
    <row r="30" spans="1:23" ht="15" customHeight="1" thickBot="1">
      <c r="A30" s="5">
        <v>46200</v>
      </c>
      <c r="B30" s="6"/>
      <c r="C30" s="6"/>
      <c r="D30" s="6"/>
      <c r="E30" s="6"/>
      <c r="F30" s="7" cm="1">
        <f t="array" ref="F30">C30-D30-E30</f>
        <v>0</v>
      </c>
      <c r="G30" s="8"/>
      <c r="H30" s="8"/>
      <c r="I30" s="8"/>
      <c r="J30" s="8"/>
      <c r="K30" s="7" cm="1">
        <f t="array" ref="K30">H30-I30-J30</f>
        <v>0</v>
      </c>
      <c r="L30" s="9"/>
      <c r="M30" s="9"/>
      <c r="N30" s="9"/>
      <c r="O30" s="9"/>
      <c r="P30" s="7" cm="1">
        <f t="array" ref="P30">M30-N30-O30</f>
        <v>0</v>
      </c>
      <c r="Q30" s="9"/>
      <c r="R30" s="9"/>
      <c r="S30" s="9"/>
      <c r="T30" s="9"/>
      <c r="U30" s="10" cm="1">
        <f t="array" ref="U30">R30-S30-T30</f>
        <v>0</v>
      </c>
      <c r="V30" s="26"/>
      <c r="W30" s="26"/>
    </row>
    <row r="31" spans="1:23" ht="15" customHeight="1" thickBot="1">
      <c r="A31" s="5">
        <v>46201</v>
      </c>
      <c r="B31" s="6"/>
      <c r="C31" s="6"/>
      <c r="D31" s="6"/>
      <c r="E31" s="6"/>
      <c r="F31" s="7" cm="1">
        <f t="array" ref="F31">C31-D31-E31</f>
        <v>0</v>
      </c>
      <c r="G31" s="8"/>
      <c r="H31" s="8"/>
      <c r="I31" s="8"/>
      <c r="J31" s="8"/>
      <c r="K31" s="7" cm="1">
        <f t="array" ref="K31">H31-I31-J31</f>
        <v>0</v>
      </c>
      <c r="L31" s="9"/>
      <c r="M31" s="9"/>
      <c r="N31" s="9"/>
      <c r="O31" s="9"/>
      <c r="P31" s="7" cm="1">
        <f t="array" ref="P31">M31-N31-O31</f>
        <v>0</v>
      </c>
      <c r="Q31" s="9"/>
      <c r="R31" s="9"/>
      <c r="S31" s="9"/>
      <c r="T31" s="9"/>
      <c r="U31" s="10" cm="1">
        <f t="array" ref="U31">R31-S31-T31</f>
        <v>0</v>
      </c>
      <c r="V31" s="26"/>
      <c r="W31" s="26"/>
    </row>
    <row r="32" spans="1:23" ht="15" customHeight="1" thickBot="1">
      <c r="A32" s="5">
        <v>46202</v>
      </c>
      <c r="B32" s="6"/>
      <c r="C32" s="6"/>
      <c r="D32" s="6"/>
      <c r="E32" s="6"/>
      <c r="F32" s="7" cm="1">
        <f t="array" ref="F32">C32-D32-E32</f>
        <v>0</v>
      </c>
      <c r="G32" s="8"/>
      <c r="H32" s="8"/>
      <c r="I32" s="8"/>
      <c r="J32" s="8"/>
      <c r="K32" s="7" cm="1">
        <f t="array" ref="K32">H32-I32-J32</f>
        <v>0</v>
      </c>
      <c r="L32" s="9"/>
      <c r="M32" s="9"/>
      <c r="N32" s="9"/>
      <c r="O32" s="9"/>
      <c r="P32" s="7" cm="1">
        <f t="array" ref="P32">M32-N32-O32</f>
        <v>0</v>
      </c>
      <c r="Q32" s="9"/>
      <c r="R32" s="9"/>
      <c r="S32" s="9"/>
      <c r="T32" s="9"/>
      <c r="U32" s="10" cm="1">
        <f t="array" ref="U32">R32-S32-T32</f>
        <v>0</v>
      </c>
      <c r="V32" s="26"/>
      <c r="W32" s="26"/>
    </row>
    <row r="33" spans="1:23" ht="15" customHeight="1" thickBot="1">
      <c r="A33" s="5">
        <v>46203</v>
      </c>
      <c r="B33" s="6"/>
      <c r="C33" s="6"/>
      <c r="D33" s="6"/>
      <c r="E33" s="6"/>
      <c r="F33" s="7">
        <v>0</v>
      </c>
      <c r="G33" s="8"/>
      <c r="H33" s="8"/>
      <c r="I33" s="8"/>
      <c r="J33" s="8"/>
      <c r="K33" s="7" cm="1">
        <f t="array" ref="K33">H33-I33-J33</f>
        <v>0</v>
      </c>
      <c r="L33" s="9"/>
      <c r="M33" s="9"/>
      <c r="N33" s="9"/>
      <c r="O33" s="9"/>
      <c r="P33" s="7" cm="1">
        <f t="array" ref="P33">M33-N33-O33</f>
        <v>0</v>
      </c>
      <c r="Q33" s="9"/>
      <c r="R33" s="9"/>
      <c r="S33" s="9"/>
      <c r="T33" s="9"/>
      <c r="U33" s="10" cm="1">
        <f t="array" ref="U33">R33-S33-T33</f>
        <v>0</v>
      </c>
      <c r="V33" s="26"/>
      <c r="W33" s="26"/>
    </row>
    <row r="34" spans="1:23" ht="15" customHeight="1" thickBot="1">
      <c r="A34" s="12" t="s">
        <v>12</v>
      </c>
      <c r="B34" s="13" cm="1">
        <f t="array" ref="B34">SUM(B4:B33)+'Май 2026'!B35</f>
        <v>1134100</v>
      </c>
      <c r="C34" s="13" cm="1">
        <f t="array" ref="C34">SUM(C4:C31)</f>
        <v>0</v>
      </c>
      <c r="D34" s="13" cm="1">
        <f t="array" ref="D34">SUM(D4:D31)</f>
        <v>0</v>
      </c>
      <c r="E34" s="13" cm="1">
        <f t="array" ref="E34">SUM(E4:E31)</f>
        <v>0</v>
      </c>
      <c r="F34" s="14" cm="1">
        <f t="array" ref="F34">C34-D34-E34</f>
        <v>0</v>
      </c>
      <c r="G34" s="15" cm="1">
        <f t="array" ref="G34">SUM(G4:G33)+'Май 2026'!G35</f>
        <v>1517550</v>
      </c>
      <c r="H34" s="15" cm="1">
        <f t="array" ref="H34">SUM(H4:H33)</f>
        <v>0</v>
      </c>
      <c r="I34" s="15" cm="1">
        <f t="array" ref="I34">SUM(I4:I33)</f>
        <v>0</v>
      </c>
      <c r="J34" s="15" cm="1">
        <f t="array" ref="J34">SUM(J4:J33)</f>
        <v>0</v>
      </c>
      <c r="K34" s="14" cm="1">
        <f t="array" ref="K34">H34-I34-J34</f>
        <v>0</v>
      </c>
      <c r="L34" s="16" cm="1">
        <f t="array" ref="L34">SUM(L4:L33)+'Май 2026'!L35</f>
        <v>982800</v>
      </c>
      <c r="M34" s="16" cm="1">
        <f t="array" ref="M34">SUM(M4:M33)</f>
        <v>0</v>
      </c>
      <c r="N34" s="16" cm="1">
        <f t="array" ref="N34">SUM(N4:N33)</f>
        <v>0</v>
      </c>
      <c r="O34" s="16" cm="1">
        <f t="array" ref="O34">SUM(O4:O33)</f>
        <v>0</v>
      </c>
      <c r="P34" s="14" cm="1">
        <f t="array" ref="P34">M34-N34-O34</f>
        <v>0</v>
      </c>
      <c r="Q34" s="16"/>
      <c r="R34" s="16">
        <f>SUM(R4:R33)</f>
        <v>0</v>
      </c>
      <c r="S34" s="16" cm="1">
        <f t="array" ref="S34">SUM(S4:S33)</f>
        <v>0</v>
      </c>
      <c r="T34" s="16" cm="1">
        <f t="array" ref="T34">SUM(T4:T33)</f>
        <v>0</v>
      </c>
      <c r="U34" s="17" cm="1">
        <f t="array" ref="U34">R34-S34-T34</f>
        <v>0</v>
      </c>
      <c r="V34" s="26" cm="1">
        <f t="array" ref="V34">SUM(F34,K34,P34)</f>
        <v>0</v>
      </c>
      <c r="W34" s="26" cm="1">
        <f t="array" ref="W34">V34+'Май 2026'!W35</f>
        <v>31500</v>
      </c>
    </row>
  </sheetData>
  <mergeCells count="23">
    <mergeCell ref="A1:A3"/>
    <mergeCell ref="B1:F1"/>
    <mergeCell ref="G1:K1"/>
    <mergeCell ref="L1:P1"/>
    <mergeCell ref="V1:V3"/>
    <mergeCell ref="N2:O2"/>
    <mergeCell ref="P2:P3"/>
    <mergeCell ref="G2:G3"/>
    <mergeCell ref="H2:H3"/>
    <mergeCell ref="I2:J2"/>
    <mergeCell ref="K2:K3"/>
    <mergeCell ref="L2:L3"/>
    <mergeCell ref="M2:M3"/>
    <mergeCell ref="Q1:U1"/>
    <mergeCell ref="Q2:Q3"/>
    <mergeCell ref="R2:R3"/>
    <mergeCell ref="W1:W3"/>
    <mergeCell ref="B2:B3"/>
    <mergeCell ref="C2:C3"/>
    <mergeCell ref="D2:E2"/>
    <mergeCell ref="F2:F3"/>
    <mergeCell ref="S2:T2"/>
    <mergeCell ref="U2:U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35"/>
  <sheetViews>
    <sheetView showGridLines="0" topLeftCell="D1" workbookViewId="0">
      <selection activeCell="Q2" sqref="Q2:Q3"/>
    </sheetView>
  </sheetViews>
  <sheetFormatPr defaultColWidth="8.88671875" defaultRowHeight="14.4" customHeight="1"/>
  <cols>
    <col min="1" max="1" width="35.21875" style="27" customWidth="1"/>
    <col min="2" max="2" width="16.21875" style="27" customWidth="1"/>
    <col min="3" max="3" width="18.21875" style="27" customWidth="1"/>
    <col min="4" max="4" width="15.88671875" style="27" customWidth="1"/>
    <col min="5" max="5" width="14.33203125" style="27" customWidth="1"/>
    <col min="6" max="7" width="13.88671875" style="27" customWidth="1"/>
    <col min="8" max="8" width="14.21875" style="27" customWidth="1"/>
    <col min="9" max="11" width="12.44140625" style="27" customWidth="1"/>
    <col min="12" max="12" width="13.88671875" style="27" customWidth="1"/>
    <col min="13" max="13" width="13.21875" style="27" customWidth="1"/>
    <col min="14" max="14" width="12" style="27" customWidth="1"/>
    <col min="15" max="15" width="12.21875" style="27" customWidth="1"/>
    <col min="16" max="16" width="14.88671875" style="27" customWidth="1"/>
    <col min="17" max="17" width="14.88671875" customWidth="1"/>
    <col min="18" max="18" width="13.21875" customWidth="1"/>
    <col min="19" max="19" width="15.44140625" style="27" customWidth="1"/>
    <col min="20" max="20" width="15.6640625" style="27" customWidth="1"/>
    <col min="21" max="21" width="18.21875" style="27" customWidth="1"/>
    <col min="22" max="22" width="13.33203125" style="27" customWidth="1"/>
    <col min="23" max="23" width="13.88671875" style="27" customWidth="1"/>
    <col min="24" max="16384" width="8.88671875" style="27"/>
  </cols>
  <sheetData>
    <row r="1" spans="1:23" ht="15" customHeight="1" thickBot="1">
      <c r="A1" s="47" t="s">
        <v>0</v>
      </c>
      <c r="B1" s="51" t="s">
        <v>1</v>
      </c>
      <c r="C1" s="52"/>
      <c r="D1" s="52"/>
      <c r="E1" s="52"/>
      <c r="F1" s="53"/>
      <c r="G1" s="60" t="s">
        <v>2</v>
      </c>
      <c r="H1" s="66"/>
      <c r="I1" s="66"/>
      <c r="J1" s="66"/>
      <c r="K1" s="61"/>
      <c r="L1" s="39" t="s">
        <v>3</v>
      </c>
      <c r="M1" s="65"/>
      <c r="N1" s="65"/>
      <c r="O1" s="65"/>
      <c r="P1" s="40"/>
      <c r="Q1" s="39" t="s">
        <v>14</v>
      </c>
      <c r="R1" s="65"/>
      <c r="S1" s="65"/>
      <c r="T1" s="65"/>
      <c r="U1" s="40"/>
      <c r="V1" s="44" t="s">
        <v>4</v>
      </c>
      <c r="W1" s="41" t="s">
        <v>5</v>
      </c>
    </row>
    <row r="2" spans="1:23" ht="15" customHeight="1" thickBot="1">
      <c r="A2" s="48"/>
      <c r="B2" s="49" t="s">
        <v>6</v>
      </c>
      <c r="C2" s="54" t="s">
        <v>7</v>
      </c>
      <c r="D2" s="51" t="s">
        <v>8</v>
      </c>
      <c r="E2" s="53"/>
      <c r="F2" s="33" t="s">
        <v>9</v>
      </c>
      <c r="G2" s="56" t="s">
        <v>6</v>
      </c>
      <c r="H2" s="58" t="s">
        <v>7</v>
      </c>
      <c r="I2" s="60" t="s">
        <v>8</v>
      </c>
      <c r="J2" s="61"/>
      <c r="K2" s="33" t="s">
        <v>9</v>
      </c>
      <c r="L2" s="35" t="s">
        <v>6</v>
      </c>
      <c r="M2" s="37" t="s">
        <v>7</v>
      </c>
      <c r="N2" s="39" t="s">
        <v>8</v>
      </c>
      <c r="O2" s="40"/>
      <c r="P2" s="33" t="s">
        <v>9</v>
      </c>
      <c r="Q2" s="35" t="s">
        <v>6</v>
      </c>
      <c r="R2" s="37" t="s">
        <v>7</v>
      </c>
      <c r="S2" s="39" t="s">
        <v>8</v>
      </c>
      <c r="T2" s="40"/>
      <c r="U2" s="33" t="s">
        <v>9</v>
      </c>
      <c r="V2" s="45"/>
      <c r="W2" s="42"/>
    </row>
    <row r="3" spans="1:23" ht="29.4" customHeight="1" thickBot="1">
      <c r="A3" s="48"/>
      <c r="B3" s="50"/>
      <c r="C3" s="55"/>
      <c r="D3" s="2" t="s">
        <v>10</v>
      </c>
      <c r="E3" s="2" t="s">
        <v>11</v>
      </c>
      <c r="F3" s="34"/>
      <c r="G3" s="57"/>
      <c r="H3" s="59"/>
      <c r="I3" s="3" t="s">
        <v>10</v>
      </c>
      <c r="J3" s="3" t="s">
        <v>11</v>
      </c>
      <c r="K3" s="34"/>
      <c r="L3" s="36"/>
      <c r="M3" s="38"/>
      <c r="N3" s="4" t="s">
        <v>10</v>
      </c>
      <c r="O3" s="4" t="s">
        <v>11</v>
      </c>
      <c r="P3" s="34"/>
      <c r="Q3" s="36"/>
      <c r="R3" s="38"/>
      <c r="S3" s="4" t="s">
        <v>10</v>
      </c>
      <c r="T3" s="4" t="s">
        <v>11</v>
      </c>
      <c r="U3" s="34"/>
      <c r="V3" s="46"/>
      <c r="W3" s="43"/>
    </row>
    <row r="4" spans="1:23" ht="15" customHeight="1" thickBot="1">
      <c r="A4" s="5">
        <v>46204</v>
      </c>
      <c r="B4" s="6"/>
      <c r="C4" s="6"/>
      <c r="D4" s="6"/>
      <c r="E4" s="6"/>
      <c r="F4" s="7" cm="1">
        <f t="array" ref="F4">C4-D4-E4</f>
        <v>0</v>
      </c>
      <c r="G4" s="8"/>
      <c r="H4" s="8"/>
      <c r="I4" s="8"/>
      <c r="J4" s="8"/>
      <c r="K4" s="7" cm="1">
        <f t="array" ref="K4">H4-I4-J4</f>
        <v>0</v>
      </c>
      <c r="L4" s="9"/>
      <c r="M4" s="9"/>
      <c r="N4" s="9"/>
      <c r="O4" s="9"/>
      <c r="P4" s="10" cm="1">
        <f t="array" ref="P4">M4-N4-O4</f>
        <v>0</v>
      </c>
      <c r="Q4" s="9"/>
      <c r="R4" s="9"/>
      <c r="S4" s="9"/>
      <c r="T4" s="9"/>
      <c r="U4" s="10" cm="1">
        <f t="array" ref="U4">R4-S4-T4</f>
        <v>0</v>
      </c>
      <c r="V4" s="11"/>
      <c r="W4" s="11"/>
    </row>
    <row r="5" spans="1:23" ht="15" customHeight="1" thickBot="1">
      <c r="A5" s="5">
        <v>46205</v>
      </c>
      <c r="B5" s="6"/>
      <c r="C5" s="6"/>
      <c r="D5" s="6"/>
      <c r="E5" s="6"/>
      <c r="F5" s="7" cm="1">
        <f t="array" ref="F5">C5-D5-E5</f>
        <v>0</v>
      </c>
      <c r="G5" s="8"/>
      <c r="H5" s="8"/>
      <c r="I5" s="8"/>
      <c r="J5" s="8"/>
      <c r="K5" s="7" cm="1">
        <f t="array" ref="K5">H5-I5-J5</f>
        <v>0</v>
      </c>
      <c r="L5" s="9"/>
      <c r="M5" s="9"/>
      <c r="N5" s="9"/>
      <c r="O5" s="9"/>
      <c r="P5" s="10" cm="1">
        <f t="array" ref="P5">M5-N5-O5</f>
        <v>0</v>
      </c>
      <c r="Q5" s="9"/>
      <c r="R5" s="9"/>
      <c r="S5" s="9"/>
      <c r="T5" s="9"/>
      <c r="U5" s="10" cm="1">
        <f t="array" ref="U5">R5-S5-T5</f>
        <v>0</v>
      </c>
      <c r="V5" s="11"/>
      <c r="W5" s="11"/>
    </row>
    <row r="6" spans="1:23" ht="15" customHeight="1" thickBot="1">
      <c r="A6" s="5">
        <v>46206</v>
      </c>
      <c r="B6" s="6"/>
      <c r="C6" s="6"/>
      <c r="D6" s="6"/>
      <c r="E6" s="6"/>
      <c r="F6" s="7" cm="1">
        <f t="array" ref="F6">C6-D6-E6</f>
        <v>0</v>
      </c>
      <c r="G6" s="8"/>
      <c r="H6" s="8"/>
      <c r="I6" s="8"/>
      <c r="J6" s="8"/>
      <c r="K6" s="7" cm="1">
        <f t="array" ref="K6">H6-I6-J6</f>
        <v>0</v>
      </c>
      <c r="L6" s="9"/>
      <c r="M6" s="9"/>
      <c r="N6" s="9"/>
      <c r="O6" s="9"/>
      <c r="P6" s="10" cm="1">
        <f t="array" ref="P6">M6-N6-O6</f>
        <v>0</v>
      </c>
      <c r="Q6" s="9"/>
      <c r="R6" s="9"/>
      <c r="S6" s="9"/>
      <c r="T6" s="9"/>
      <c r="U6" s="10" cm="1">
        <f t="array" ref="U6">R6-S6-T6</f>
        <v>0</v>
      </c>
      <c r="V6" s="11"/>
      <c r="W6" s="11"/>
    </row>
    <row r="7" spans="1:23" ht="15" customHeight="1" thickBot="1">
      <c r="A7" s="5">
        <v>46207</v>
      </c>
      <c r="B7" s="6"/>
      <c r="C7" s="6"/>
      <c r="D7" s="6"/>
      <c r="E7" s="6"/>
      <c r="F7" s="7" cm="1">
        <f t="array" ref="F7">C7-D7-E7</f>
        <v>0</v>
      </c>
      <c r="G7" s="8"/>
      <c r="H7" s="8"/>
      <c r="I7" s="8"/>
      <c r="J7" s="8"/>
      <c r="K7" s="7" cm="1">
        <f t="array" ref="K7">H7-I7-J7</f>
        <v>0</v>
      </c>
      <c r="L7" s="9"/>
      <c r="M7" s="9"/>
      <c r="N7" s="9"/>
      <c r="O7" s="9"/>
      <c r="P7" s="10" cm="1">
        <f t="array" ref="P7">M7-N7-O7</f>
        <v>0</v>
      </c>
      <c r="Q7" s="9"/>
      <c r="R7" s="9"/>
      <c r="S7" s="9"/>
      <c r="T7" s="9"/>
      <c r="U7" s="10" cm="1">
        <f t="array" ref="U7">R7-S7-T7</f>
        <v>0</v>
      </c>
      <c r="V7" s="11"/>
      <c r="W7" s="11"/>
    </row>
    <row r="8" spans="1:23" ht="15" customHeight="1" thickBot="1">
      <c r="A8" s="5">
        <v>46208</v>
      </c>
      <c r="B8" s="6"/>
      <c r="C8" s="6"/>
      <c r="D8" s="6"/>
      <c r="E8" s="6"/>
      <c r="F8" s="7" cm="1">
        <f t="array" ref="F8">C8-D8-E8</f>
        <v>0</v>
      </c>
      <c r="G8" s="8"/>
      <c r="H8" s="8"/>
      <c r="I8" s="8"/>
      <c r="J8" s="8"/>
      <c r="K8" s="7" cm="1">
        <f t="array" ref="K8">H8-I8-J8</f>
        <v>0</v>
      </c>
      <c r="L8" s="9"/>
      <c r="M8" s="9"/>
      <c r="N8" s="9"/>
      <c r="O8" s="9"/>
      <c r="P8" s="10" cm="1">
        <f t="array" ref="P8">M8-N8-O8</f>
        <v>0</v>
      </c>
      <c r="Q8" s="9"/>
      <c r="R8" s="9"/>
      <c r="S8" s="9"/>
      <c r="T8" s="9"/>
      <c r="U8" s="10" cm="1">
        <f t="array" ref="U8">R8-S8-T8</f>
        <v>0</v>
      </c>
      <c r="V8" s="11"/>
      <c r="W8" s="11"/>
    </row>
    <row r="9" spans="1:23" ht="15" customHeight="1" thickBot="1">
      <c r="A9" s="5">
        <v>46209</v>
      </c>
      <c r="B9" s="6"/>
      <c r="C9" s="6"/>
      <c r="D9" s="6"/>
      <c r="E9" s="6"/>
      <c r="F9" s="7" cm="1">
        <f t="array" ref="F9">C9-D9-E9</f>
        <v>0</v>
      </c>
      <c r="G9" s="8"/>
      <c r="H9" s="8"/>
      <c r="I9" s="8"/>
      <c r="J9" s="8"/>
      <c r="K9" s="7" cm="1">
        <f t="array" ref="K9">H9-I9-J9</f>
        <v>0</v>
      </c>
      <c r="L9" s="9"/>
      <c r="M9" s="9"/>
      <c r="N9" s="9"/>
      <c r="O9" s="9"/>
      <c r="P9" s="10" cm="1">
        <f t="array" ref="P9">M9-N9-O9</f>
        <v>0</v>
      </c>
      <c r="Q9" s="9"/>
      <c r="R9" s="9"/>
      <c r="S9" s="9"/>
      <c r="T9" s="9"/>
      <c r="U9" s="10" cm="1">
        <f t="array" ref="U9">R9-S9-T9</f>
        <v>0</v>
      </c>
      <c r="V9" s="11"/>
      <c r="W9" s="11"/>
    </row>
    <row r="10" spans="1:23" ht="15" customHeight="1" thickBot="1">
      <c r="A10" s="5">
        <v>46210</v>
      </c>
      <c r="B10" s="6"/>
      <c r="C10" s="6"/>
      <c r="D10" s="6"/>
      <c r="E10" s="6"/>
      <c r="F10" s="7" cm="1">
        <f t="array" ref="F10">C10-D10-E10</f>
        <v>0</v>
      </c>
      <c r="G10" s="8"/>
      <c r="H10" s="8"/>
      <c r="I10" s="8"/>
      <c r="J10" s="8"/>
      <c r="K10" s="7" cm="1">
        <f t="array" ref="K10">H10-I10-J10</f>
        <v>0</v>
      </c>
      <c r="L10" s="9"/>
      <c r="M10" s="9"/>
      <c r="N10" s="9"/>
      <c r="O10" s="9"/>
      <c r="P10" s="10" cm="1">
        <f t="array" ref="P10">M10-N10-O10</f>
        <v>0</v>
      </c>
      <c r="Q10" s="9"/>
      <c r="R10" s="9"/>
      <c r="S10" s="9"/>
      <c r="T10" s="9"/>
      <c r="U10" s="10" cm="1">
        <f t="array" ref="U10">R10-S10-T10</f>
        <v>0</v>
      </c>
      <c r="V10" s="11"/>
      <c r="W10" s="11"/>
    </row>
    <row r="11" spans="1:23" ht="15" customHeight="1" thickBot="1">
      <c r="A11" s="5">
        <v>46211</v>
      </c>
      <c r="B11" s="6"/>
      <c r="C11" s="6"/>
      <c r="D11" s="6"/>
      <c r="E11" s="6"/>
      <c r="F11" s="7" cm="1">
        <f t="array" ref="F11">C11-D11-E11</f>
        <v>0</v>
      </c>
      <c r="G11" s="8"/>
      <c r="H11" s="8"/>
      <c r="I11" s="8"/>
      <c r="J11" s="8"/>
      <c r="K11" s="7" cm="1">
        <f t="array" ref="K11">H11-I11-J11</f>
        <v>0</v>
      </c>
      <c r="L11" s="9"/>
      <c r="M11" s="9"/>
      <c r="N11" s="9"/>
      <c r="O11" s="9"/>
      <c r="P11" s="10" cm="1">
        <f t="array" ref="P11">M11-N11-O11</f>
        <v>0</v>
      </c>
      <c r="Q11" s="9"/>
      <c r="R11" s="9"/>
      <c r="S11" s="9"/>
      <c r="T11" s="9"/>
      <c r="U11" s="10" cm="1">
        <f t="array" ref="U11">R11-S11-T11</f>
        <v>0</v>
      </c>
      <c r="V11" s="11"/>
      <c r="W11" s="11"/>
    </row>
    <row r="12" spans="1:23" ht="15" customHeight="1" thickBot="1">
      <c r="A12" s="5">
        <v>46212</v>
      </c>
      <c r="B12" s="6"/>
      <c r="C12" s="6"/>
      <c r="D12" s="6"/>
      <c r="E12" s="6"/>
      <c r="F12" s="7" cm="1">
        <f t="array" ref="F12">C12-D12-E12</f>
        <v>0</v>
      </c>
      <c r="G12" s="8"/>
      <c r="H12" s="8"/>
      <c r="I12" s="8"/>
      <c r="J12" s="8"/>
      <c r="K12" s="7" cm="1">
        <f t="array" ref="K12">H12-I12-J12</f>
        <v>0</v>
      </c>
      <c r="L12" s="9"/>
      <c r="M12" s="9"/>
      <c r="N12" s="9"/>
      <c r="O12" s="9"/>
      <c r="P12" s="10" cm="1">
        <f t="array" ref="P12">M12-N12-O12</f>
        <v>0</v>
      </c>
      <c r="Q12" s="9"/>
      <c r="R12" s="9"/>
      <c r="S12" s="9"/>
      <c r="T12" s="9"/>
      <c r="U12" s="10" cm="1">
        <f t="array" ref="U12">R12-S12-T12</f>
        <v>0</v>
      </c>
      <c r="V12" s="11"/>
      <c r="W12" s="11"/>
    </row>
    <row r="13" spans="1:23" ht="15" customHeight="1" thickBot="1">
      <c r="A13" s="5">
        <v>46213</v>
      </c>
      <c r="B13" s="6"/>
      <c r="C13" s="6"/>
      <c r="D13" s="6"/>
      <c r="E13" s="6"/>
      <c r="F13" s="7" cm="1">
        <f t="array" ref="F13">C13-D13-E13</f>
        <v>0</v>
      </c>
      <c r="G13" s="8"/>
      <c r="H13" s="8"/>
      <c r="I13" s="8"/>
      <c r="J13" s="8"/>
      <c r="K13" s="7" cm="1">
        <f t="array" ref="K13">H13-I13-J13</f>
        <v>0</v>
      </c>
      <c r="L13" s="9"/>
      <c r="M13" s="9"/>
      <c r="N13" s="9"/>
      <c r="O13" s="9"/>
      <c r="P13" s="10" cm="1">
        <f t="array" ref="P13">M13-N13-O13</f>
        <v>0</v>
      </c>
      <c r="Q13" s="9"/>
      <c r="R13" s="9"/>
      <c r="S13" s="9"/>
      <c r="T13" s="9"/>
      <c r="U13" s="10" cm="1">
        <f t="array" ref="U13">R13-S13-T13</f>
        <v>0</v>
      </c>
      <c r="V13" s="11"/>
      <c r="W13" s="11"/>
    </row>
    <row r="14" spans="1:23" ht="15" customHeight="1" thickBot="1">
      <c r="A14" s="5">
        <v>46214</v>
      </c>
      <c r="B14" s="6"/>
      <c r="C14" s="6"/>
      <c r="D14" s="6"/>
      <c r="E14" s="6"/>
      <c r="F14" s="7" cm="1">
        <f t="array" ref="F14">C14-D14-E14</f>
        <v>0</v>
      </c>
      <c r="G14" s="8"/>
      <c r="H14" s="8"/>
      <c r="I14" s="8"/>
      <c r="J14" s="8"/>
      <c r="K14" s="7" cm="1">
        <f t="array" ref="K14">H14-I14-J14</f>
        <v>0</v>
      </c>
      <c r="L14" s="9"/>
      <c r="M14" s="9"/>
      <c r="N14" s="9"/>
      <c r="O14" s="9"/>
      <c r="P14" s="10" cm="1">
        <f t="array" ref="P14">M14-N14-O14</f>
        <v>0</v>
      </c>
      <c r="Q14" s="9"/>
      <c r="R14" s="9"/>
      <c r="S14" s="9"/>
      <c r="T14" s="9"/>
      <c r="U14" s="10" cm="1">
        <f t="array" ref="U14">R14-S14-T14</f>
        <v>0</v>
      </c>
      <c r="V14" s="11"/>
      <c r="W14" s="11"/>
    </row>
    <row r="15" spans="1:23" ht="15" customHeight="1" thickBot="1">
      <c r="A15" s="5">
        <v>46215</v>
      </c>
      <c r="B15" s="6"/>
      <c r="C15" s="6"/>
      <c r="D15" s="6"/>
      <c r="E15" s="6"/>
      <c r="F15" s="7" cm="1">
        <f t="array" ref="F15">C15-D15-E15</f>
        <v>0</v>
      </c>
      <c r="G15" s="8"/>
      <c r="H15" s="8"/>
      <c r="I15" s="8"/>
      <c r="J15" s="8"/>
      <c r="K15" s="7" cm="1">
        <f t="array" ref="K15">H15-I15-J15</f>
        <v>0</v>
      </c>
      <c r="L15" s="9"/>
      <c r="M15" s="9"/>
      <c r="N15" s="9"/>
      <c r="O15" s="9"/>
      <c r="P15" s="10" cm="1">
        <f t="array" ref="P15">M15-N15-O15</f>
        <v>0</v>
      </c>
      <c r="Q15" s="9"/>
      <c r="R15" s="9"/>
      <c r="S15" s="9"/>
      <c r="T15" s="9"/>
      <c r="U15" s="10" cm="1">
        <f t="array" ref="U15">R15-S15-T15</f>
        <v>0</v>
      </c>
      <c r="V15" s="11"/>
      <c r="W15" s="11"/>
    </row>
    <row r="16" spans="1:23" ht="15" customHeight="1" thickBot="1">
      <c r="A16" s="5">
        <v>46216</v>
      </c>
      <c r="B16" s="6"/>
      <c r="C16" s="6"/>
      <c r="D16" s="6"/>
      <c r="E16" s="6"/>
      <c r="F16" s="7" cm="1">
        <f t="array" ref="F16">C16-D16-E16</f>
        <v>0</v>
      </c>
      <c r="G16" s="8"/>
      <c r="H16" s="8"/>
      <c r="I16" s="8"/>
      <c r="J16" s="8"/>
      <c r="K16" s="7" cm="1">
        <f t="array" ref="K16">H16-I16-J16</f>
        <v>0</v>
      </c>
      <c r="L16" s="9"/>
      <c r="M16" s="9"/>
      <c r="N16" s="9"/>
      <c r="O16" s="9"/>
      <c r="P16" s="10" cm="1">
        <f t="array" ref="P16">M16-N16-O16</f>
        <v>0</v>
      </c>
      <c r="Q16" s="9"/>
      <c r="R16" s="9"/>
      <c r="S16" s="9"/>
      <c r="T16" s="9"/>
      <c r="U16" s="10" cm="1">
        <f t="array" ref="U16">R16-S16-T16</f>
        <v>0</v>
      </c>
      <c r="V16" s="11"/>
      <c r="W16" s="11"/>
    </row>
    <row r="17" spans="1:23" ht="15" customHeight="1" thickBot="1">
      <c r="A17" s="5">
        <v>46217</v>
      </c>
      <c r="B17" s="6"/>
      <c r="C17" s="6"/>
      <c r="D17" s="6"/>
      <c r="E17" s="6"/>
      <c r="F17" s="7" cm="1">
        <f t="array" ref="F17">C17-D17-E17</f>
        <v>0</v>
      </c>
      <c r="G17" s="8"/>
      <c r="H17" s="8"/>
      <c r="I17" s="8"/>
      <c r="J17" s="8"/>
      <c r="K17" s="7" cm="1">
        <f t="array" ref="K17">H17-I17-J17</f>
        <v>0</v>
      </c>
      <c r="L17" s="9"/>
      <c r="M17" s="9"/>
      <c r="N17" s="9"/>
      <c r="O17" s="9"/>
      <c r="P17" s="10" cm="1">
        <f t="array" ref="P17">M17-N17-O17</f>
        <v>0</v>
      </c>
      <c r="Q17" s="9"/>
      <c r="R17" s="9"/>
      <c r="S17" s="9"/>
      <c r="T17" s="9"/>
      <c r="U17" s="10" cm="1">
        <f t="array" ref="U17">R17-S17-T17</f>
        <v>0</v>
      </c>
      <c r="V17" s="11"/>
      <c r="W17" s="11"/>
    </row>
    <row r="18" spans="1:23" ht="15" customHeight="1" thickBot="1">
      <c r="A18" s="5">
        <v>46218</v>
      </c>
      <c r="B18" s="6"/>
      <c r="C18" s="6"/>
      <c r="D18" s="6"/>
      <c r="E18" s="6"/>
      <c r="F18" s="7" cm="1">
        <f t="array" ref="F18">C18-D18-E18</f>
        <v>0</v>
      </c>
      <c r="G18" s="8"/>
      <c r="H18" s="8"/>
      <c r="I18" s="8"/>
      <c r="J18" s="8"/>
      <c r="K18" s="7" cm="1">
        <f t="array" ref="K18">H18-I18-J18</f>
        <v>0</v>
      </c>
      <c r="L18" s="9"/>
      <c r="M18" s="9"/>
      <c r="N18" s="9"/>
      <c r="O18" s="9"/>
      <c r="P18" s="10" cm="1">
        <f t="array" ref="P18">M18-N18-O18</f>
        <v>0</v>
      </c>
      <c r="Q18" s="9"/>
      <c r="R18" s="9"/>
      <c r="S18" s="9"/>
      <c r="T18" s="9"/>
      <c r="U18" s="10" cm="1">
        <f t="array" ref="U18">R18-S18-T18</f>
        <v>0</v>
      </c>
      <c r="V18" s="11"/>
      <c r="W18" s="11"/>
    </row>
    <row r="19" spans="1:23" ht="15" customHeight="1" thickBot="1">
      <c r="A19" s="5">
        <v>46219</v>
      </c>
      <c r="B19" s="6"/>
      <c r="C19" s="6"/>
      <c r="D19" s="6"/>
      <c r="E19" s="6"/>
      <c r="F19" s="7" cm="1">
        <f t="array" ref="F19">C19-D19-E19</f>
        <v>0</v>
      </c>
      <c r="G19" s="8"/>
      <c r="H19" s="8"/>
      <c r="I19" s="8"/>
      <c r="J19" s="8"/>
      <c r="K19" s="7" cm="1">
        <f t="array" ref="K19">H19-I19-J19</f>
        <v>0</v>
      </c>
      <c r="L19" s="9"/>
      <c r="M19" s="9"/>
      <c r="N19" s="9"/>
      <c r="O19" s="9"/>
      <c r="P19" s="10" cm="1">
        <f t="array" ref="P19">M19-N19-O19</f>
        <v>0</v>
      </c>
      <c r="Q19" s="9"/>
      <c r="R19" s="9"/>
      <c r="S19" s="9"/>
      <c r="T19" s="9"/>
      <c r="U19" s="10" cm="1">
        <f t="array" ref="U19">R19-S19-T19</f>
        <v>0</v>
      </c>
      <c r="V19" s="11"/>
      <c r="W19" s="11"/>
    </row>
    <row r="20" spans="1:23" ht="15" customHeight="1" thickBot="1">
      <c r="A20" s="5">
        <v>46220</v>
      </c>
      <c r="B20" s="6"/>
      <c r="C20" s="6"/>
      <c r="D20" s="6"/>
      <c r="E20" s="6"/>
      <c r="F20" s="7" cm="1">
        <f t="array" ref="F20">C20-D20-E20</f>
        <v>0</v>
      </c>
      <c r="G20" s="8"/>
      <c r="H20" s="8"/>
      <c r="I20" s="8"/>
      <c r="J20" s="8"/>
      <c r="K20" s="7" cm="1">
        <f t="array" ref="K20">H20-I20-J20</f>
        <v>0</v>
      </c>
      <c r="L20" s="9"/>
      <c r="M20" s="9"/>
      <c r="N20" s="9"/>
      <c r="O20" s="9"/>
      <c r="P20" s="10" cm="1">
        <f t="array" ref="P20">M20-N20-O20</f>
        <v>0</v>
      </c>
      <c r="Q20" s="9"/>
      <c r="R20" s="9"/>
      <c r="S20" s="9"/>
      <c r="T20" s="9"/>
      <c r="U20" s="10" cm="1">
        <f t="array" ref="U20">R20-S20-T20</f>
        <v>0</v>
      </c>
      <c r="V20" s="11"/>
      <c r="W20" s="11"/>
    </row>
    <row r="21" spans="1:23" ht="15" customHeight="1" thickBot="1">
      <c r="A21" s="5">
        <v>46221</v>
      </c>
      <c r="B21" s="6"/>
      <c r="C21" s="6"/>
      <c r="D21" s="6"/>
      <c r="E21" s="6"/>
      <c r="F21" s="7" cm="1">
        <f t="array" ref="F21">C21-D21-E21</f>
        <v>0</v>
      </c>
      <c r="G21" s="8"/>
      <c r="H21" s="8"/>
      <c r="I21" s="8"/>
      <c r="J21" s="8"/>
      <c r="K21" s="7" cm="1">
        <f t="array" ref="K21">H21-I21-J21</f>
        <v>0</v>
      </c>
      <c r="L21" s="9"/>
      <c r="M21" s="9"/>
      <c r="N21" s="9"/>
      <c r="O21" s="9"/>
      <c r="P21" s="10" cm="1">
        <f t="array" ref="P21">M21-N21-O21</f>
        <v>0</v>
      </c>
      <c r="Q21" s="9"/>
      <c r="R21" s="9"/>
      <c r="S21" s="9"/>
      <c r="T21" s="9"/>
      <c r="U21" s="10" cm="1">
        <f t="array" ref="U21">R21-S21-T21</f>
        <v>0</v>
      </c>
      <c r="V21" s="11"/>
      <c r="W21" s="11"/>
    </row>
    <row r="22" spans="1:23" ht="15" customHeight="1" thickBot="1">
      <c r="A22" s="5">
        <v>46222</v>
      </c>
      <c r="B22" s="6"/>
      <c r="C22" s="6"/>
      <c r="D22" s="6"/>
      <c r="E22" s="6"/>
      <c r="F22" s="7" cm="1">
        <f t="array" ref="F22">C22-D22-E22</f>
        <v>0</v>
      </c>
      <c r="G22" s="8"/>
      <c r="H22" s="8"/>
      <c r="I22" s="8"/>
      <c r="J22" s="8"/>
      <c r="K22" s="7" cm="1">
        <f t="array" ref="K22">H22-I22-J22</f>
        <v>0</v>
      </c>
      <c r="L22" s="9"/>
      <c r="M22" s="9"/>
      <c r="N22" s="9"/>
      <c r="O22" s="9"/>
      <c r="P22" s="10" cm="1">
        <f t="array" ref="P22">M22-N22-O22</f>
        <v>0</v>
      </c>
      <c r="Q22" s="9"/>
      <c r="R22" s="9"/>
      <c r="S22" s="9"/>
      <c r="T22" s="9"/>
      <c r="U22" s="10" cm="1">
        <f t="array" ref="U22">R22-S22-T22</f>
        <v>0</v>
      </c>
      <c r="V22" s="11"/>
      <c r="W22" s="11"/>
    </row>
    <row r="23" spans="1:23" ht="15" customHeight="1" thickBot="1">
      <c r="A23" s="5">
        <v>46223</v>
      </c>
      <c r="B23" s="6"/>
      <c r="C23" s="6"/>
      <c r="D23" s="6"/>
      <c r="E23" s="6"/>
      <c r="F23" s="7" cm="1">
        <f t="array" ref="F23">C23-D23-E23</f>
        <v>0</v>
      </c>
      <c r="G23" s="8"/>
      <c r="H23" s="8"/>
      <c r="I23" s="8"/>
      <c r="J23" s="8"/>
      <c r="K23" s="7" cm="1">
        <f t="array" ref="K23">H23-I23-J23</f>
        <v>0</v>
      </c>
      <c r="L23" s="9"/>
      <c r="M23" s="9"/>
      <c r="N23" s="9"/>
      <c r="O23" s="9"/>
      <c r="P23" s="10" cm="1">
        <f t="array" ref="P23">M23-N23-O23</f>
        <v>0</v>
      </c>
      <c r="Q23" s="9"/>
      <c r="R23" s="9"/>
      <c r="S23" s="9"/>
      <c r="T23" s="9"/>
      <c r="U23" s="10" cm="1">
        <f t="array" ref="U23">R23-S23-T23</f>
        <v>0</v>
      </c>
      <c r="V23" s="11"/>
      <c r="W23" s="11"/>
    </row>
    <row r="24" spans="1:23" ht="15" customHeight="1" thickBot="1">
      <c r="A24" s="5">
        <v>46224</v>
      </c>
      <c r="B24" s="6"/>
      <c r="C24" s="6"/>
      <c r="D24" s="6"/>
      <c r="E24" s="6"/>
      <c r="F24" s="7" cm="1">
        <f t="array" ref="F24">C24-D24-E24</f>
        <v>0</v>
      </c>
      <c r="G24" s="8"/>
      <c r="H24" s="8"/>
      <c r="I24" s="8"/>
      <c r="J24" s="8"/>
      <c r="K24" s="7" cm="1">
        <f t="array" ref="K24">H24-I24-J24</f>
        <v>0</v>
      </c>
      <c r="L24" s="9"/>
      <c r="M24" s="9"/>
      <c r="N24" s="9"/>
      <c r="O24" s="9"/>
      <c r="P24" s="10" cm="1">
        <f t="array" ref="P24">M24-N24-O24</f>
        <v>0</v>
      </c>
      <c r="Q24" s="9"/>
      <c r="R24" s="9"/>
      <c r="S24" s="9"/>
      <c r="T24" s="9"/>
      <c r="U24" s="10" cm="1">
        <f t="array" ref="U24">R24-S24-T24</f>
        <v>0</v>
      </c>
      <c r="V24" s="11"/>
      <c r="W24" s="11"/>
    </row>
    <row r="25" spans="1:23" ht="15" customHeight="1" thickBot="1">
      <c r="A25" s="5">
        <v>46225</v>
      </c>
      <c r="B25" s="6"/>
      <c r="C25" s="6"/>
      <c r="D25" s="6"/>
      <c r="E25" s="6"/>
      <c r="F25" s="7" cm="1">
        <f t="array" ref="F25">C25-D25-E25</f>
        <v>0</v>
      </c>
      <c r="G25" s="8"/>
      <c r="H25" s="8"/>
      <c r="I25" s="8"/>
      <c r="J25" s="8"/>
      <c r="K25" s="7" cm="1">
        <f t="array" ref="K25">H25-I25-J25</f>
        <v>0</v>
      </c>
      <c r="L25" s="9"/>
      <c r="M25" s="9"/>
      <c r="N25" s="9"/>
      <c r="O25" s="9"/>
      <c r="P25" s="10" cm="1">
        <f t="array" ref="P25">M25-N25-O25</f>
        <v>0</v>
      </c>
      <c r="Q25" s="9"/>
      <c r="R25" s="9"/>
      <c r="S25" s="9"/>
      <c r="T25" s="9"/>
      <c r="U25" s="10" cm="1">
        <f t="array" ref="U25">R25-S25-T25</f>
        <v>0</v>
      </c>
      <c r="V25" s="11"/>
      <c r="W25" s="11"/>
    </row>
    <row r="26" spans="1:23" ht="15" customHeight="1" thickBot="1">
      <c r="A26" s="5">
        <v>46226</v>
      </c>
      <c r="B26" s="6"/>
      <c r="C26" s="6"/>
      <c r="D26" s="6"/>
      <c r="E26" s="6"/>
      <c r="F26" s="7" cm="1">
        <f t="array" ref="F26">C26-D26-E26</f>
        <v>0</v>
      </c>
      <c r="G26" s="8"/>
      <c r="H26" s="8"/>
      <c r="I26" s="8"/>
      <c r="J26" s="8"/>
      <c r="K26" s="7" cm="1">
        <f t="array" ref="K26">H26-I26-J26</f>
        <v>0</v>
      </c>
      <c r="L26" s="9"/>
      <c r="M26" s="9"/>
      <c r="N26" s="9"/>
      <c r="O26" s="9"/>
      <c r="P26" s="10" cm="1">
        <f t="array" ref="P26">M26-N26-O26</f>
        <v>0</v>
      </c>
      <c r="Q26" s="9"/>
      <c r="R26" s="9"/>
      <c r="S26" s="9"/>
      <c r="T26" s="9"/>
      <c r="U26" s="10" cm="1">
        <f t="array" ref="U26">R26-S26-T26</f>
        <v>0</v>
      </c>
      <c r="V26" s="11"/>
      <c r="W26" s="11"/>
    </row>
    <row r="27" spans="1:23" ht="15" customHeight="1" thickBot="1">
      <c r="A27" s="5">
        <v>46227</v>
      </c>
      <c r="B27" s="6"/>
      <c r="C27" s="6"/>
      <c r="D27" s="6"/>
      <c r="E27" s="6"/>
      <c r="F27" s="7" cm="1">
        <f t="array" ref="F27">C27-D27-E27</f>
        <v>0</v>
      </c>
      <c r="G27" s="8"/>
      <c r="H27" s="8"/>
      <c r="I27" s="8"/>
      <c r="J27" s="8"/>
      <c r="K27" s="7" cm="1">
        <f t="array" ref="K27">H27-I27-J27</f>
        <v>0</v>
      </c>
      <c r="L27" s="9"/>
      <c r="M27" s="9"/>
      <c r="N27" s="9"/>
      <c r="O27" s="9"/>
      <c r="P27" s="10" cm="1">
        <f t="array" ref="P27">M27-N27-O27</f>
        <v>0</v>
      </c>
      <c r="Q27" s="9"/>
      <c r="R27" s="9"/>
      <c r="S27" s="9"/>
      <c r="T27" s="9"/>
      <c r="U27" s="10" cm="1">
        <f t="array" ref="U27">R27-S27-T27</f>
        <v>0</v>
      </c>
      <c r="V27" s="11"/>
      <c r="W27" s="11"/>
    </row>
    <row r="28" spans="1:23" ht="15" customHeight="1" thickBot="1">
      <c r="A28" s="5">
        <v>46228</v>
      </c>
      <c r="B28" s="6"/>
      <c r="C28" s="6"/>
      <c r="D28" s="6"/>
      <c r="E28" s="6"/>
      <c r="F28" s="7" cm="1">
        <f t="array" ref="F28">C28-D28-E28</f>
        <v>0</v>
      </c>
      <c r="G28" s="8"/>
      <c r="H28" s="8"/>
      <c r="I28" s="8"/>
      <c r="J28" s="8"/>
      <c r="K28" s="7" cm="1">
        <f t="array" ref="K28">H28-I28-J28</f>
        <v>0</v>
      </c>
      <c r="L28" s="9"/>
      <c r="M28" s="9"/>
      <c r="N28" s="9"/>
      <c r="O28" s="9"/>
      <c r="P28" s="10" cm="1">
        <f t="array" ref="P28">M28-N28-O28</f>
        <v>0</v>
      </c>
      <c r="Q28" s="9"/>
      <c r="R28" s="9"/>
      <c r="S28" s="9"/>
      <c r="T28" s="9"/>
      <c r="U28" s="10" cm="1">
        <f t="array" ref="U28">R28-S28-T28</f>
        <v>0</v>
      </c>
      <c r="V28" s="11"/>
      <c r="W28" s="11"/>
    </row>
    <row r="29" spans="1:23" ht="15" customHeight="1" thickBot="1">
      <c r="A29" s="5">
        <v>46229</v>
      </c>
      <c r="B29" s="6"/>
      <c r="C29" s="6"/>
      <c r="D29" s="6"/>
      <c r="E29" s="6"/>
      <c r="F29" s="7" cm="1">
        <f t="array" ref="F29">C29-D29-E29</f>
        <v>0</v>
      </c>
      <c r="G29" s="8"/>
      <c r="H29" s="8"/>
      <c r="I29" s="8"/>
      <c r="J29" s="8"/>
      <c r="K29" s="7" cm="1">
        <f t="array" ref="K29">H29-I29-J29</f>
        <v>0</v>
      </c>
      <c r="L29" s="9"/>
      <c r="M29" s="9"/>
      <c r="N29" s="9"/>
      <c r="O29" s="9"/>
      <c r="P29" s="10" cm="1">
        <f t="array" ref="P29">M29-N29-O29</f>
        <v>0</v>
      </c>
      <c r="Q29" s="9"/>
      <c r="R29" s="9"/>
      <c r="S29" s="9"/>
      <c r="T29" s="9"/>
      <c r="U29" s="10" cm="1">
        <f t="array" ref="U29">R29-S29-T29</f>
        <v>0</v>
      </c>
      <c r="V29" s="11"/>
      <c r="W29" s="11"/>
    </row>
    <row r="30" spans="1:23" ht="15" customHeight="1" thickBot="1">
      <c r="A30" s="5">
        <v>46230</v>
      </c>
      <c r="B30" s="6"/>
      <c r="C30" s="6"/>
      <c r="D30" s="6"/>
      <c r="E30" s="6"/>
      <c r="F30" s="7" cm="1">
        <f t="array" ref="F30">C30-D30-E30</f>
        <v>0</v>
      </c>
      <c r="G30" s="8"/>
      <c r="H30" s="8"/>
      <c r="I30" s="8"/>
      <c r="J30" s="8"/>
      <c r="K30" s="7" cm="1">
        <f t="array" ref="K30">H30-I30-J30</f>
        <v>0</v>
      </c>
      <c r="L30" s="9"/>
      <c r="M30" s="9"/>
      <c r="N30" s="9"/>
      <c r="O30" s="9"/>
      <c r="P30" s="10" cm="1">
        <f t="array" ref="P30">M30-N30-O30</f>
        <v>0</v>
      </c>
      <c r="Q30" s="9"/>
      <c r="R30" s="9"/>
      <c r="S30" s="9"/>
      <c r="T30" s="9"/>
      <c r="U30" s="10" cm="1">
        <f t="array" ref="U30">R30-S30-T30</f>
        <v>0</v>
      </c>
      <c r="V30" s="11"/>
      <c r="W30" s="11"/>
    </row>
    <row r="31" spans="1:23" ht="15" customHeight="1" thickBot="1">
      <c r="A31" s="5">
        <v>46231</v>
      </c>
      <c r="B31" s="6"/>
      <c r="C31" s="6"/>
      <c r="D31" s="6"/>
      <c r="E31" s="6"/>
      <c r="F31" s="7" cm="1">
        <f t="array" ref="F31">C31-D31-E31</f>
        <v>0</v>
      </c>
      <c r="G31" s="8"/>
      <c r="H31" s="8"/>
      <c r="I31" s="8"/>
      <c r="J31" s="8"/>
      <c r="K31" s="7" cm="1">
        <f t="array" ref="K31">H31-I31-J31</f>
        <v>0</v>
      </c>
      <c r="L31" s="9"/>
      <c r="M31" s="9"/>
      <c r="N31" s="9"/>
      <c r="O31" s="9"/>
      <c r="P31" s="10" cm="1">
        <f t="array" ref="P31">M31-N31-O31</f>
        <v>0</v>
      </c>
      <c r="Q31" s="9"/>
      <c r="R31" s="9"/>
      <c r="S31" s="9"/>
      <c r="T31" s="9"/>
      <c r="U31" s="10" cm="1">
        <f t="array" ref="U31">R31-S31-T31</f>
        <v>0</v>
      </c>
      <c r="V31" s="11"/>
      <c r="W31" s="11"/>
    </row>
    <row r="32" spans="1:23" ht="15" customHeight="1" thickBot="1">
      <c r="A32" s="5">
        <v>46232</v>
      </c>
      <c r="B32" s="6"/>
      <c r="C32" s="6"/>
      <c r="D32" s="6"/>
      <c r="E32" s="6"/>
      <c r="F32" s="7" cm="1">
        <f t="array" ref="F32">C32-D32-E32</f>
        <v>0</v>
      </c>
      <c r="G32" s="8"/>
      <c r="H32" s="8"/>
      <c r="I32" s="8"/>
      <c r="J32" s="8"/>
      <c r="K32" s="7" cm="1">
        <f t="array" ref="K32">H32-I32-J32</f>
        <v>0</v>
      </c>
      <c r="L32" s="9"/>
      <c r="M32" s="9"/>
      <c r="N32" s="9"/>
      <c r="O32" s="9"/>
      <c r="P32" s="10" cm="1">
        <f t="array" ref="P32">M32-N32-O32</f>
        <v>0</v>
      </c>
      <c r="Q32" s="9"/>
      <c r="R32" s="9"/>
      <c r="S32" s="9"/>
      <c r="T32" s="9"/>
      <c r="U32" s="10" cm="1">
        <f t="array" ref="U32">R32-S32-T32</f>
        <v>0</v>
      </c>
      <c r="V32" s="11"/>
      <c r="W32" s="11"/>
    </row>
    <row r="33" spans="1:23" ht="15" customHeight="1" thickBot="1">
      <c r="A33" s="5">
        <v>46233</v>
      </c>
      <c r="B33" s="6"/>
      <c r="C33" s="6"/>
      <c r="D33" s="6"/>
      <c r="E33" s="6"/>
      <c r="F33" s="7" cm="1">
        <f t="array" ref="F33">C33-D33-E33</f>
        <v>0</v>
      </c>
      <c r="G33" s="8"/>
      <c r="H33" s="8"/>
      <c r="I33" s="8"/>
      <c r="J33" s="8"/>
      <c r="K33" s="7" cm="1">
        <f t="array" ref="K33">H33-I33-J33</f>
        <v>0</v>
      </c>
      <c r="L33" s="9"/>
      <c r="M33" s="9"/>
      <c r="N33" s="9"/>
      <c r="O33" s="9"/>
      <c r="P33" s="10" cm="1">
        <f t="array" ref="P33">M33-N33-O33</f>
        <v>0</v>
      </c>
      <c r="Q33" s="9"/>
      <c r="R33" s="9"/>
      <c r="S33" s="9"/>
      <c r="T33" s="9"/>
      <c r="U33" s="10" cm="1">
        <f t="array" ref="U33">R33-S33-T33</f>
        <v>0</v>
      </c>
      <c r="V33" s="11"/>
      <c r="W33" s="11"/>
    </row>
    <row r="34" spans="1:23" ht="14.4" customHeight="1" thickBot="1">
      <c r="A34" s="5">
        <v>46234</v>
      </c>
      <c r="B34" s="6"/>
      <c r="C34" s="6"/>
      <c r="D34" s="6"/>
      <c r="E34" s="6"/>
      <c r="F34" s="7" cm="1">
        <f t="array" ref="F34">C34-D34-E34</f>
        <v>0</v>
      </c>
      <c r="G34" s="8"/>
      <c r="H34" s="8"/>
      <c r="I34" s="8"/>
      <c r="J34" s="8"/>
      <c r="K34" s="7" cm="1">
        <f t="array" ref="K34">H34-I34-J34</f>
        <v>0</v>
      </c>
      <c r="L34" s="9"/>
      <c r="M34" s="9"/>
      <c r="N34" s="9"/>
      <c r="O34" s="9"/>
      <c r="P34" s="10" cm="1">
        <f t="array" ref="P34">M34-N34-O34</f>
        <v>0</v>
      </c>
      <c r="Q34" s="9"/>
      <c r="R34" s="9"/>
      <c r="S34" s="9"/>
      <c r="T34" s="9"/>
      <c r="U34" s="10" cm="1">
        <f t="array" ref="U34">R34-S34-T34</f>
        <v>0</v>
      </c>
      <c r="V34" s="11"/>
      <c r="W34" s="11"/>
    </row>
    <row r="35" spans="1:23" ht="15" customHeight="1" thickBot="1">
      <c r="A35" s="12" t="s">
        <v>12</v>
      </c>
      <c r="B35" s="13">
        <v>1134100</v>
      </c>
      <c r="C35" s="13" cm="1">
        <f t="array" ref="C35">SUM(C4:C34)</f>
        <v>0</v>
      </c>
      <c r="D35" s="13" cm="1">
        <f t="array" ref="D35">SUM(D4:D34)</f>
        <v>0</v>
      </c>
      <c r="E35" s="13" cm="1">
        <f t="array" ref="E35">SUM(E4:E34)</f>
        <v>0</v>
      </c>
      <c r="F35" s="14" cm="1">
        <f t="array" ref="F35">C35-D35-E35</f>
        <v>0</v>
      </c>
      <c r="G35" s="15">
        <v>1517550</v>
      </c>
      <c r="H35" s="15" cm="1">
        <f t="array" ref="H35">SUM(H4:H34)</f>
        <v>0</v>
      </c>
      <c r="I35" s="15" cm="1">
        <f t="array" ref="I35">SUM(I4:I34)</f>
        <v>0</v>
      </c>
      <c r="J35" s="15" cm="1">
        <f t="array" ref="J35">SUM(J4:J34)</f>
        <v>0</v>
      </c>
      <c r="K35" s="14" cm="1">
        <f t="array" ref="K35">H35-I35-J35</f>
        <v>0</v>
      </c>
      <c r="L35" s="16">
        <v>982800</v>
      </c>
      <c r="M35" s="16" cm="1">
        <f t="array" ref="M35">SUM(M4:M34)</f>
        <v>0</v>
      </c>
      <c r="N35" s="16" cm="1">
        <f t="array" ref="N35">SUM(N4:N34)</f>
        <v>0</v>
      </c>
      <c r="O35" s="16" cm="1">
        <f t="array" ref="O35">SUM(O4:O34)</f>
        <v>0</v>
      </c>
      <c r="P35" s="17" cm="1">
        <f t="array" ref="P35">M35-N35-O35</f>
        <v>0</v>
      </c>
      <c r="Q35" s="16"/>
      <c r="R35" s="16">
        <f>SUM(R4:R33)</f>
        <v>0</v>
      </c>
      <c r="S35" s="16" cm="1">
        <f t="array" ref="S35">SUM(S4:S33)</f>
        <v>0</v>
      </c>
      <c r="T35" s="16" cm="1">
        <f t="array" ref="T35">SUM(T4:T33)</f>
        <v>0</v>
      </c>
      <c r="U35" s="17" cm="1">
        <f t="array" ref="U35">R35-S35-T35</f>
        <v>0</v>
      </c>
      <c r="V35" s="11" cm="1">
        <f t="array" ref="V35">SUM(F35,K35,P35)</f>
        <v>0</v>
      </c>
      <c r="W35" s="11">
        <v>31500</v>
      </c>
    </row>
  </sheetData>
  <mergeCells count="23">
    <mergeCell ref="A1:A3"/>
    <mergeCell ref="B1:F1"/>
    <mergeCell ref="G1:K1"/>
    <mergeCell ref="L1:P1"/>
    <mergeCell ref="V1:V3"/>
    <mergeCell ref="N2:O2"/>
    <mergeCell ref="P2:P3"/>
    <mergeCell ref="G2:G3"/>
    <mergeCell ref="H2:H3"/>
    <mergeCell ref="I2:J2"/>
    <mergeCell ref="K2:K3"/>
    <mergeCell ref="L2:L3"/>
    <mergeCell ref="M2:M3"/>
    <mergeCell ref="Q1:U1"/>
    <mergeCell ref="Q2:Q3"/>
    <mergeCell ref="R2:R3"/>
    <mergeCell ref="W1:W3"/>
    <mergeCell ref="B2:B3"/>
    <mergeCell ref="C2:C3"/>
    <mergeCell ref="D2:E2"/>
    <mergeCell ref="F2:F3"/>
    <mergeCell ref="S2:T2"/>
    <mergeCell ref="U2:U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34"/>
  <sheetViews>
    <sheetView showGridLines="0" topLeftCell="F1" workbookViewId="0">
      <selection activeCell="R39" sqref="R39"/>
    </sheetView>
  </sheetViews>
  <sheetFormatPr defaultColWidth="8.88671875" defaultRowHeight="14.4" customHeight="1"/>
  <cols>
    <col min="1" max="1" width="31.88671875" style="28" customWidth="1"/>
    <col min="2" max="2" width="18.44140625" style="28" customWidth="1"/>
    <col min="3" max="3" width="18" style="28" customWidth="1"/>
    <col min="4" max="4" width="16.33203125" style="28" customWidth="1"/>
    <col min="5" max="5" width="16.21875" style="28" customWidth="1"/>
    <col min="6" max="6" width="15.21875" style="28" customWidth="1"/>
    <col min="7" max="7" width="14.88671875" style="28" customWidth="1"/>
    <col min="8" max="8" width="15.44140625" style="28" customWidth="1"/>
    <col min="9" max="9" width="14.6640625" style="28" customWidth="1"/>
    <col min="10" max="10" width="14.21875" style="28" customWidth="1"/>
    <col min="11" max="11" width="15.44140625" style="28" customWidth="1"/>
    <col min="12" max="12" width="15.21875" style="28" customWidth="1"/>
    <col min="13" max="13" width="14.21875" style="28" customWidth="1"/>
    <col min="14" max="14" width="13.6640625" style="28" customWidth="1"/>
    <col min="15" max="15" width="13.88671875" style="28" customWidth="1"/>
    <col min="16" max="16" width="14.21875" style="28" customWidth="1"/>
    <col min="17" max="17" width="15.21875" customWidth="1"/>
    <col min="18" max="18" width="17.21875" customWidth="1"/>
    <col min="19" max="19" width="12.33203125" style="28" customWidth="1"/>
    <col min="20" max="20" width="12.109375" style="28" customWidth="1"/>
    <col min="21" max="21" width="14.109375" style="28" customWidth="1"/>
    <col min="22" max="22" width="15.21875" style="28" customWidth="1"/>
    <col min="23" max="23" width="14.44140625" style="28" customWidth="1"/>
    <col min="24" max="16384" width="8.88671875" style="28"/>
  </cols>
  <sheetData>
    <row r="1" spans="1:23" ht="15" customHeight="1" thickBot="1">
      <c r="A1" s="47" t="s">
        <v>0</v>
      </c>
      <c r="B1" s="51" t="s">
        <v>1</v>
      </c>
      <c r="C1" s="52"/>
      <c r="D1" s="52"/>
      <c r="E1" s="52"/>
      <c r="F1" s="53"/>
      <c r="G1" s="60" t="s">
        <v>2</v>
      </c>
      <c r="H1" s="66"/>
      <c r="I1" s="66"/>
      <c r="J1" s="66"/>
      <c r="K1" s="61"/>
      <c r="L1" s="39" t="s">
        <v>3</v>
      </c>
      <c r="M1" s="65"/>
      <c r="N1" s="65"/>
      <c r="O1" s="65"/>
      <c r="P1" s="40"/>
      <c r="Q1" s="39" t="s">
        <v>14</v>
      </c>
      <c r="R1" s="65"/>
      <c r="S1" s="65"/>
      <c r="T1" s="65"/>
      <c r="U1" s="40"/>
      <c r="V1" s="67" t="s">
        <v>4</v>
      </c>
      <c r="W1" s="67" t="s">
        <v>5</v>
      </c>
    </row>
    <row r="2" spans="1:23" ht="15" customHeight="1" thickBot="1">
      <c r="A2" s="48"/>
      <c r="B2" s="49" t="s">
        <v>6</v>
      </c>
      <c r="C2" s="54" t="s">
        <v>7</v>
      </c>
      <c r="D2" s="51" t="s">
        <v>8</v>
      </c>
      <c r="E2" s="53"/>
      <c r="F2" s="33" t="s">
        <v>9</v>
      </c>
      <c r="G2" s="56" t="s">
        <v>6</v>
      </c>
      <c r="H2" s="58" t="s">
        <v>7</v>
      </c>
      <c r="I2" s="60" t="s">
        <v>8</v>
      </c>
      <c r="J2" s="61"/>
      <c r="K2" s="33" t="s">
        <v>9</v>
      </c>
      <c r="L2" s="35" t="s">
        <v>6</v>
      </c>
      <c r="M2" s="37" t="s">
        <v>7</v>
      </c>
      <c r="N2" s="39" t="s">
        <v>8</v>
      </c>
      <c r="O2" s="40"/>
      <c r="P2" s="33" t="s">
        <v>9</v>
      </c>
      <c r="Q2" s="35" t="s">
        <v>6</v>
      </c>
      <c r="R2" s="37" t="s">
        <v>7</v>
      </c>
      <c r="S2" s="39" t="s">
        <v>8</v>
      </c>
      <c r="T2" s="40"/>
      <c r="U2" s="33" t="s">
        <v>9</v>
      </c>
      <c r="V2" s="68"/>
      <c r="W2" s="68"/>
    </row>
    <row r="3" spans="1:23" ht="29.4" customHeight="1" thickBot="1">
      <c r="A3" s="48"/>
      <c r="B3" s="50"/>
      <c r="C3" s="55"/>
      <c r="D3" s="2" t="s">
        <v>10</v>
      </c>
      <c r="E3" s="2" t="s">
        <v>11</v>
      </c>
      <c r="F3" s="34"/>
      <c r="G3" s="57"/>
      <c r="H3" s="59"/>
      <c r="I3" s="3" t="s">
        <v>10</v>
      </c>
      <c r="J3" s="3" t="s">
        <v>11</v>
      </c>
      <c r="K3" s="34"/>
      <c r="L3" s="36"/>
      <c r="M3" s="38"/>
      <c r="N3" s="4" t="s">
        <v>10</v>
      </c>
      <c r="O3" s="4" t="s">
        <v>11</v>
      </c>
      <c r="P3" s="34"/>
      <c r="Q3" s="36"/>
      <c r="R3" s="38"/>
      <c r="S3" s="4" t="s">
        <v>10</v>
      </c>
      <c r="T3" s="4" t="s">
        <v>11</v>
      </c>
      <c r="U3" s="34"/>
      <c r="V3" s="68"/>
      <c r="W3" s="68"/>
    </row>
    <row r="4" spans="1:23" ht="15" customHeight="1" thickBot="1">
      <c r="A4" s="5">
        <v>46235</v>
      </c>
      <c r="B4" s="6"/>
      <c r="C4" s="6"/>
      <c r="D4" s="6"/>
      <c r="E4" s="6"/>
      <c r="F4" s="7" cm="1">
        <f t="array" ref="F4">C4-D4-E4</f>
        <v>0</v>
      </c>
      <c r="G4" s="8"/>
      <c r="H4" s="8"/>
      <c r="I4" s="8"/>
      <c r="J4" s="8"/>
      <c r="K4" s="7" cm="1">
        <f t="array" ref="K4">H4-I4-J4</f>
        <v>0</v>
      </c>
      <c r="L4" s="9"/>
      <c r="M4" s="9"/>
      <c r="N4" s="9"/>
      <c r="O4" s="9"/>
      <c r="P4" s="7" cm="1">
        <f t="array" ref="P4">M4-N4-O4</f>
        <v>0</v>
      </c>
      <c r="Q4" s="9"/>
      <c r="R4" s="9"/>
      <c r="S4" s="9"/>
      <c r="T4" s="9"/>
      <c r="U4" s="10" cm="1">
        <f t="array" ref="U4">R4-S4-T4</f>
        <v>0</v>
      </c>
      <c r="V4" s="26"/>
      <c r="W4" s="26"/>
    </row>
    <row r="5" spans="1:23" ht="15" customHeight="1" thickBot="1">
      <c r="A5" s="5">
        <v>46236</v>
      </c>
      <c r="B5" s="6"/>
      <c r="C5" s="6"/>
      <c r="D5" s="6"/>
      <c r="E5" s="6"/>
      <c r="F5" s="7" cm="1">
        <f t="array" ref="F5">C5-D5-E5</f>
        <v>0</v>
      </c>
      <c r="G5" s="8"/>
      <c r="H5" s="8"/>
      <c r="I5" s="8"/>
      <c r="J5" s="8"/>
      <c r="K5" s="7" cm="1">
        <f t="array" ref="K5">H5-I5-J5</f>
        <v>0</v>
      </c>
      <c r="L5" s="9"/>
      <c r="M5" s="9"/>
      <c r="N5" s="9"/>
      <c r="O5" s="9"/>
      <c r="P5" s="7" cm="1">
        <f t="array" ref="P5">M5-N5-O5</f>
        <v>0</v>
      </c>
      <c r="Q5" s="9"/>
      <c r="R5" s="9"/>
      <c r="S5" s="9"/>
      <c r="T5" s="9"/>
      <c r="U5" s="10" cm="1">
        <f t="array" ref="U5">R5-S5-T5</f>
        <v>0</v>
      </c>
      <c r="V5" s="26"/>
      <c r="W5" s="26"/>
    </row>
    <row r="6" spans="1:23" ht="15" customHeight="1" thickBot="1">
      <c r="A6" s="5">
        <v>46237</v>
      </c>
      <c r="B6" s="6"/>
      <c r="C6" s="6"/>
      <c r="D6" s="6"/>
      <c r="E6" s="6"/>
      <c r="F6" s="7" cm="1">
        <f t="array" ref="F6">C6-D6-E6</f>
        <v>0</v>
      </c>
      <c r="G6" s="8"/>
      <c r="H6" s="8"/>
      <c r="I6" s="8"/>
      <c r="J6" s="8"/>
      <c r="K6" s="7" cm="1">
        <f t="array" ref="K6">H6-I6-J6</f>
        <v>0</v>
      </c>
      <c r="L6" s="9"/>
      <c r="M6" s="9"/>
      <c r="N6" s="9"/>
      <c r="O6" s="9"/>
      <c r="P6" s="7" cm="1">
        <f t="array" ref="P6">M6-N6-O6</f>
        <v>0</v>
      </c>
      <c r="Q6" s="9"/>
      <c r="R6" s="9"/>
      <c r="S6" s="9"/>
      <c r="T6" s="9"/>
      <c r="U6" s="10" cm="1">
        <f t="array" ref="U6">R6-S6-T6</f>
        <v>0</v>
      </c>
      <c r="V6" s="26"/>
      <c r="W6" s="26"/>
    </row>
    <row r="7" spans="1:23" ht="15" customHeight="1" thickBot="1">
      <c r="A7" s="5">
        <v>46238</v>
      </c>
      <c r="B7" s="6"/>
      <c r="C7" s="6"/>
      <c r="D7" s="6"/>
      <c r="E7" s="6"/>
      <c r="F7" s="7" cm="1">
        <f t="array" ref="F7">C7-D7-E7</f>
        <v>0</v>
      </c>
      <c r="G7" s="8"/>
      <c r="H7" s="8"/>
      <c r="I7" s="8"/>
      <c r="J7" s="8"/>
      <c r="K7" s="7" cm="1">
        <f t="array" ref="K7">H7-I7-J7</f>
        <v>0</v>
      </c>
      <c r="L7" s="9"/>
      <c r="M7" s="9"/>
      <c r="N7" s="9"/>
      <c r="O7" s="9"/>
      <c r="P7" s="7" cm="1">
        <f t="array" ref="P7">M7-N7-O7</f>
        <v>0</v>
      </c>
      <c r="Q7" s="9"/>
      <c r="R7" s="9"/>
      <c r="S7" s="9"/>
      <c r="T7" s="9"/>
      <c r="U7" s="10" cm="1">
        <f t="array" ref="U7">R7-S7-T7</f>
        <v>0</v>
      </c>
      <c r="V7" s="26"/>
      <c r="W7" s="26"/>
    </row>
    <row r="8" spans="1:23" ht="15" customHeight="1" thickBot="1">
      <c r="A8" s="5">
        <v>46239</v>
      </c>
      <c r="B8" s="6"/>
      <c r="C8" s="6"/>
      <c r="D8" s="6"/>
      <c r="E8" s="6"/>
      <c r="F8" s="7" cm="1">
        <f t="array" ref="F8">C8-D8-E8</f>
        <v>0</v>
      </c>
      <c r="G8" s="8"/>
      <c r="H8" s="8"/>
      <c r="I8" s="8"/>
      <c r="J8" s="8"/>
      <c r="K8" s="7" cm="1">
        <f t="array" ref="K8">H8-I8-J8</f>
        <v>0</v>
      </c>
      <c r="L8" s="9"/>
      <c r="M8" s="9"/>
      <c r="N8" s="9"/>
      <c r="O8" s="9"/>
      <c r="P8" s="7" cm="1">
        <f t="array" ref="P8">M8-N8-O8</f>
        <v>0</v>
      </c>
      <c r="Q8" s="9"/>
      <c r="R8" s="9"/>
      <c r="S8" s="9"/>
      <c r="T8" s="9"/>
      <c r="U8" s="10" cm="1">
        <f t="array" ref="U8">R8-S8-T8</f>
        <v>0</v>
      </c>
      <c r="V8" s="26"/>
      <c r="W8" s="26"/>
    </row>
    <row r="9" spans="1:23" ht="15" customHeight="1" thickBot="1">
      <c r="A9" s="5">
        <v>46240</v>
      </c>
      <c r="B9" s="6"/>
      <c r="C9" s="6"/>
      <c r="D9" s="6"/>
      <c r="E9" s="6"/>
      <c r="F9" s="7" cm="1">
        <f t="array" ref="F9">C9-D9-E9</f>
        <v>0</v>
      </c>
      <c r="G9" s="8"/>
      <c r="H9" s="8"/>
      <c r="I9" s="8"/>
      <c r="J9" s="8"/>
      <c r="K9" s="7" cm="1">
        <f t="array" ref="K9">H9-I9-J9</f>
        <v>0</v>
      </c>
      <c r="L9" s="9"/>
      <c r="M9" s="9"/>
      <c r="N9" s="9"/>
      <c r="O9" s="9"/>
      <c r="P9" s="7" cm="1">
        <f t="array" ref="P9">M9-N9-O9</f>
        <v>0</v>
      </c>
      <c r="Q9" s="9"/>
      <c r="R9" s="9"/>
      <c r="S9" s="9"/>
      <c r="T9" s="9"/>
      <c r="U9" s="10" cm="1">
        <f t="array" ref="U9">R9-S9-T9</f>
        <v>0</v>
      </c>
      <c r="V9" s="26"/>
      <c r="W9" s="26"/>
    </row>
    <row r="10" spans="1:23" ht="15" customHeight="1" thickBot="1">
      <c r="A10" s="5">
        <v>46241</v>
      </c>
      <c r="B10" s="6"/>
      <c r="C10" s="6"/>
      <c r="D10" s="6"/>
      <c r="E10" s="6"/>
      <c r="F10" s="7" cm="1">
        <f t="array" ref="F10">C10-D10-E10</f>
        <v>0</v>
      </c>
      <c r="G10" s="8"/>
      <c r="H10" s="8"/>
      <c r="I10" s="8"/>
      <c r="J10" s="8"/>
      <c r="K10" s="7" cm="1">
        <f t="array" ref="K10">H10-I10-J10</f>
        <v>0</v>
      </c>
      <c r="L10" s="9"/>
      <c r="M10" s="9"/>
      <c r="N10" s="9"/>
      <c r="O10" s="9"/>
      <c r="P10" s="7" cm="1">
        <f t="array" ref="P10">M10-N10-O10</f>
        <v>0</v>
      </c>
      <c r="Q10" s="9"/>
      <c r="R10" s="9"/>
      <c r="S10" s="9"/>
      <c r="T10" s="9"/>
      <c r="U10" s="10" cm="1">
        <f t="array" ref="U10">R10-S10-T10</f>
        <v>0</v>
      </c>
      <c r="V10" s="26"/>
      <c r="W10" s="26"/>
    </row>
    <row r="11" spans="1:23" ht="15" customHeight="1" thickBot="1">
      <c r="A11" s="5">
        <v>46242</v>
      </c>
      <c r="B11" s="6"/>
      <c r="C11" s="6"/>
      <c r="D11" s="6"/>
      <c r="E11" s="6"/>
      <c r="F11" s="7" cm="1">
        <f t="array" ref="F11">C11-D11-E11</f>
        <v>0</v>
      </c>
      <c r="G11" s="8"/>
      <c r="H11" s="8"/>
      <c r="I11" s="8"/>
      <c r="J11" s="8"/>
      <c r="K11" s="7" cm="1">
        <f t="array" ref="K11">H11-I11-J11</f>
        <v>0</v>
      </c>
      <c r="L11" s="9"/>
      <c r="M11" s="9"/>
      <c r="N11" s="9"/>
      <c r="O11" s="9"/>
      <c r="P11" s="7" cm="1">
        <f t="array" ref="P11">M11-N11-O11</f>
        <v>0</v>
      </c>
      <c r="Q11" s="9"/>
      <c r="R11" s="9"/>
      <c r="S11" s="9"/>
      <c r="T11" s="9"/>
      <c r="U11" s="10" cm="1">
        <f t="array" ref="U11">R11-S11-T11</f>
        <v>0</v>
      </c>
      <c r="V11" s="26"/>
      <c r="W11" s="26"/>
    </row>
    <row r="12" spans="1:23" ht="15" customHeight="1" thickBot="1">
      <c r="A12" s="5">
        <v>46243</v>
      </c>
      <c r="B12" s="6"/>
      <c r="C12" s="6"/>
      <c r="D12" s="6"/>
      <c r="E12" s="6"/>
      <c r="F12" s="7" cm="1">
        <f t="array" ref="F12">C12-D12-E12</f>
        <v>0</v>
      </c>
      <c r="G12" s="8"/>
      <c r="H12" s="8"/>
      <c r="I12" s="8"/>
      <c r="J12" s="8"/>
      <c r="K12" s="7" cm="1">
        <f t="array" ref="K12">H12-I12-J12</f>
        <v>0</v>
      </c>
      <c r="L12" s="9"/>
      <c r="M12" s="9"/>
      <c r="N12" s="9"/>
      <c r="O12" s="9"/>
      <c r="P12" s="7" cm="1">
        <f t="array" ref="P12">M12-N12-O12</f>
        <v>0</v>
      </c>
      <c r="Q12" s="9"/>
      <c r="R12" s="9"/>
      <c r="S12" s="9"/>
      <c r="T12" s="9"/>
      <c r="U12" s="10" cm="1">
        <f t="array" ref="U12">R12-S12-T12</f>
        <v>0</v>
      </c>
      <c r="V12" s="26"/>
      <c r="W12" s="26"/>
    </row>
    <row r="13" spans="1:23" ht="15" customHeight="1" thickBot="1">
      <c r="A13" s="5">
        <v>46244</v>
      </c>
      <c r="B13" s="6"/>
      <c r="C13" s="6"/>
      <c r="D13" s="6"/>
      <c r="E13" s="6"/>
      <c r="F13" s="7" cm="1">
        <f t="array" ref="F13">C13-D13-E13</f>
        <v>0</v>
      </c>
      <c r="G13" s="8"/>
      <c r="H13" s="8"/>
      <c r="I13" s="8"/>
      <c r="J13" s="8"/>
      <c r="K13" s="7" cm="1">
        <f t="array" ref="K13">H13-I13-J13</f>
        <v>0</v>
      </c>
      <c r="L13" s="9"/>
      <c r="M13" s="9"/>
      <c r="N13" s="9"/>
      <c r="O13" s="9"/>
      <c r="P13" s="7" cm="1">
        <f t="array" ref="P13">M13-N13-O13</f>
        <v>0</v>
      </c>
      <c r="Q13" s="9"/>
      <c r="R13" s="9"/>
      <c r="S13" s="9"/>
      <c r="T13" s="9"/>
      <c r="U13" s="10" cm="1">
        <f t="array" ref="U13">R13-S13-T13</f>
        <v>0</v>
      </c>
      <c r="V13" s="26"/>
      <c r="W13" s="26"/>
    </row>
    <row r="14" spans="1:23" ht="15" customHeight="1" thickBot="1">
      <c r="A14" s="5">
        <v>46245</v>
      </c>
      <c r="B14" s="6"/>
      <c r="C14" s="6"/>
      <c r="D14" s="6"/>
      <c r="E14" s="6"/>
      <c r="F14" s="7" cm="1">
        <f t="array" ref="F14">C14-D14-E14</f>
        <v>0</v>
      </c>
      <c r="G14" s="8"/>
      <c r="H14" s="8"/>
      <c r="I14" s="8"/>
      <c r="J14" s="8"/>
      <c r="K14" s="7" cm="1">
        <f t="array" ref="K14">H14-I14-J14</f>
        <v>0</v>
      </c>
      <c r="L14" s="9"/>
      <c r="M14" s="9"/>
      <c r="N14" s="9"/>
      <c r="O14" s="9"/>
      <c r="P14" s="7" cm="1">
        <f t="array" ref="P14">M14-N14-O14</f>
        <v>0</v>
      </c>
      <c r="Q14" s="9"/>
      <c r="R14" s="9"/>
      <c r="S14" s="9"/>
      <c r="T14" s="9"/>
      <c r="U14" s="10" cm="1">
        <f t="array" ref="U14">R14-S14-T14</f>
        <v>0</v>
      </c>
      <c r="V14" s="26"/>
      <c r="W14" s="26"/>
    </row>
    <row r="15" spans="1:23" ht="15" customHeight="1" thickBot="1">
      <c r="A15" s="5">
        <v>46246</v>
      </c>
      <c r="B15" s="6"/>
      <c r="C15" s="6"/>
      <c r="D15" s="6"/>
      <c r="E15" s="6"/>
      <c r="F15" s="7" cm="1">
        <f t="array" ref="F15">C15-D15-E15</f>
        <v>0</v>
      </c>
      <c r="G15" s="8"/>
      <c r="H15" s="8"/>
      <c r="I15" s="8"/>
      <c r="J15" s="8"/>
      <c r="K15" s="7" cm="1">
        <f t="array" ref="K15">H15-I15-J15</f>
        <v>0</v>
      </c>
      <c r="L15" s="9"/>
      <c r="M15" s="9"/>
      <c r="N15" s="9"/>
      <c r="O15" s="9"/>
      <c r="P15" s="7" cm="1">
        <f t="array" ref="P15">M15-N15-O15</f>
        <v>0</v>
      </c>
      <c r="Q15" s="9"/>
      <c r="R15" s="9"/>
      <c r="S15" s="9"/>
      <c r="T15" s="9"/>
      <c r="U15" s="10" cm="1">
        <f t="array" ref="U15">R15-S15-T15</f>
        <v>0</v>
      </c>
      <c r="V15" s="26"/>
      <c r="W15" s="26"/>
    </row>
    <row r="16" spans="1:23" ht="15" customHeight="1" thickBot="1">
      <c r="A16" s="5">
        <v>46247</v>
      </c>
      <c r="B16" s="6"/>
      <c r="C16" s="6"/>
      <c r="D16" s="6"/>
      <c r="E16" s="6"/>
      <c r="F16" s="7" cm="1">
        <f t="array" ref="F16">C16-D16-E16</f>
        <v>0</v>
      </c>
      <c r="G16" s="8"/>
      <c r="H16" s="8"/>
      <c r="I16" s="8"/>
      <c r="J16" s="8"/>
      <c r="K16" s="7" cm="1">
        <f t="array" ref="K16">H16-I16-J16</f>
        <v>0</v>
      </c>
      <c r="L16" s="9"/>
      <c r="M16" s="9"/>
      <c r="N16" s="9"/>
      <c r="O16" s="9"/>
      <c r="P16" s="7" cm="1">
        <f t="array" ref="P16">M16-N16-O16</f>
        <v>0</v>
      </c>
      <c r="Q16" s="9"/>
      <c r="R16" s="9"/>
      <c r="S16" s="9"/>
      <c r="T16" s="9"/>
      <c r="U16" s="10" cm="1">
        <f t="array" ref="U16">R16-S16-T16</f>
        <v>0</v>
      </c>
      <c r="V16" s="26"/>
      <c r="W16" s="26"/>
    </row>
    <row r="17" spans="1:23" ht="15" customHeight="1" thickBot="1">
      <c r="A17" s="5">
        <v>46248</v>
      </c>
      <c r="B17" s="6"/>
      <c r="C17" s="6"/>
      <c r="D17" s="6"/>
      <c r="E17" s="6"/>
      <c r="F17" s="7" cm="1">
        <f t="array" ref="F17">C17-D17-E17</f>
        <v>0</v>
      </c>
      <c r="G17" s="8"/>
      <c r="H17" s="8"/>
      <c r="I17" s="8"/>
      <c r="J17" s="8"/>
      <c r="K17" s="7" cm="1">
        <f t="array" ref="K17">H17-I17-J17</f>
        <v>0</v>
      </c>
      <c r="L17" s="9"/>
      <c r="M17" s="9"/>
      <c r="N17" s="9"/>
      <c r="O17" s="9"/>
      <c r="P17" s="7" cm="1">
        <f t="array" ref="P17">M17-N17-O17</f>
        <v>0</v>
      </c>
      <c r="Q17" s="9"/>
      <c r="R17" s="9"/>
      <c r="S17" s="9"/>
      <c r="T17" s="9"/>
      <c r="U17" s="10" cm="1">
        <f t="array" ref="U17">R17-S17-T17</f>
        <v>0</v>
      </c>
      <c r="V17" s="26"/>
      <c r="W17" s="26"/>
    </row>
    <row r="18" spans="1:23" ht="15" customHeight="1" thickBot="1">
      <c r="A18" s="5">
        <v>46249</v>
      </c>
      <c r="B18" s="6"/>
      <c r="C18" s="6"/>
      <c r="D18" s="6"/>
      <c r="E18" s="6"/>
      <c r="F18" s="7" cm="1">
        <f t="array" ref="F18">C18-D18-E18</f>
        <v>0</v>
      </c>
      <c r="G18" s="8"/>
      <c r="H18" s="8"/>
      <c r="I18" s="8"/>
      <c r="J18" s="8"/>
      <c r="K18" s="7" cm="1">
        <f t="array" ref="K18">H18-I18-J18</f>
        <v>0</v>
      </c>
      <c r="L18" s="9"/>
      <c r="M18" s="9"/>
      <c r="N18" s="9"/>
      <c r="O18" s="9"/>
      <c r="P18" s="7" cm="1">
        <f t="array" ref="P18">M18-N18-O18</f>
        <v>0</v>
      </c>
      <c r="Q18" s="9"/>
      <c r="R18" s="9"/>
      <c r="S18" s="9"/>
      <c r="T18" s="9"/>
      <c r="U18" s="10" cm="1">
        <f t="array" ref="U18">R18-S18-T18</f>
        <v>0</v>
      </c>
      <c r="V18" s="26"/>
      <c r="W18" s="26"/>
    </row>
    <row r="19" spans="1:23" ht="15" customHeight="1" thickBot="1">
      <c r="A19" s="5">
        <v>46250</v>
      </c>
      <c r="B19" s="6"/>
      <c r="C19" s="6"/>
      <c r="D19" s="6"/>
      <c r="E19" s="6"/>
      <c r="F19" s="7" cm="1">
        <f t="array" ref="F19">C19-D19-E19</f>
        <v>0</v>
      </c>
      <c r="G19" s="8"/>
      <c r="H19" s="8"/>
      <c r="I19" s="8"/>
      <c r="J19" s="8"/>
      <c r="K19" s="7" cm="1">
        <f t="array" ref="K19">H19-I19-J19</f>
        <v>0</v>
      </c>
      <c r="L19" s="9"/>
      <c r="M19" s="9"/>
      <c r="N19" s="9"/>
      <c r="O19" s="9"/>
      <c r="P19" s="7" cm="1">
        <f t="array" ref="P19">M19-N19-O19</f>
        <v>0</v>
      </c>
      <c r="Q19" s="9"/>
      <c r="R19" s="9"/>
      <c r="S19" s="9"/>
      <c r="T19" s="9"/>
      <c r="U19" s="10" cm="1">
        <f t="array" ref="U19">R19-S19-T19</f>
        <v>0</v>
      </c>
      <c r="V19" s="26"/>
      <c r="W19" s="26"/>
    </row>
    <row r="20" spans="1:23" ht="15" customHeight="1" thickBot="1">
      <c r="A20" s="5">
        <v>46251</v>
      </c>
      <c r="B20" s="6"/>
      <c r="C20" s="6"/>
      <c r="D20" s="6"/>
      <c r="E20" s="6"/>
      <c r="F20" s="7" cm="1">
        <f t="array" ref="F20">C20-D20-E20</f>
        <v>0</v>
      </c>
      <c r="G20" s="8"/>
      <c r="H20" s="8"/>
      <c r="I20" s="8"/>
      <c r="J20" s="8"/>
      <c r="K20" s="7" cm="1">
        <f t="array" ref="K20">H20-I20-J20</f>
        <v>0</v>
      </c>
      <c r="L20" s="9"/>
      <c r="M20" s="9"/>
      <c r="N20" s="9"/>
      <c r="O20" s="9"/>
      <c r="P20" s="7" cm="1">
        <f t="array" ref="P20">M20-N20-O20</f>
        <v>0</v>
      </c>
      <c r="Q20" s="9"/>
      <c r="R20" s="9"/>
      <c r="S20" s="9"/>
      <c r="T20" s="9"/>
      <c r="U20" s="10" cm="1">
        <f t="array" ref="U20">R20-S20-T20</f>
        <v>0</v>
      </c>
      <c r="V20" s="26"/>
      <c r="W20" s="26"/>
    </row>
    <row r="21" spans="1:23" ht="15" customHeight="1" thickBot="1">
      <c r="A21" s="5">
        <v>46252</v>
      </c>
      <c r="B21" s="6"/>
      <c r="C21" s="6"/>
      <c r="D21" s="6"/>
      <c r="E21" s="6"/>
      <c r="F21" s="7" cm="1">
        <f t="array" ref="F21">C21-D21-E21</f>
        <v>0</v>
      </c>
      <c r="G21" s="8"/>
      <c r="H21" s="8"/>
      <c r="I21" s="8"/>
      <c r="J21" s="8"/>
      <c r="K21" s="7" cm="1">
        <f t="array" ref="K21">H21-I21-J21</f>
        <v>0</v>
      </c>
      <c r="L21" s="9"/>
      <c r="M21" s="9"/>
      <c r="N21" s="9"/>
      <c r="O21" s="9"/>
      <c r="P21" s="7" cm="1">
        <f t="array" ref="P21">M21-N21-O21</f>
        <v>0</v>
      </c>
      <c r="Q21" s="9"/>
      <c r="R21" s="9"/>
      <c r="S21" s="9"/>
      <c r="T21" s="9"/>
      <c r="U21" s="10" cm="1">
        <f t="array" ref="U21">R21-S21-T21</f>
        <v>0</v>
      </c>
      <c r="V21" s="26"/>
      <c r="W21" s="26"/>
    </row>
    <row r="22" spans="1:23" ht="15" customHeight="1" thickBot="1">
      <c r="A22" s="5">
        <v>46253</v>
      </c>
      <c r="B22" s="6"/>
      <c r="C22" s="6"/>
      <c r="D22" s="6"/>
      <c r="E22" s="6"/>
      <c r="F22" s="7" cm="1">
        <f t="array" ref="F22">C22-D22-E22</f>
        <v>0</v>
      </c>
      <c r="G22" s="8"/>
      <c r="H22" s="8"/>
      <c r="I22" s="8"/>
      <c r="J22" s="8"/>
      <c r="K22" s="7" cm="1">
        <f t="array" ref="K22">H22-I22-J22</f>
        <v>0</v>
      </c>
      <c r="L22" s="9"/>
      <c r="M22" s="9"/>
      <c r="N22" s="9"/>
      <c r="O22" s="9"/>
      <c r="P22" s="7" cm="1">
        <f t="array" ref="P22">M22-N22-O22</f>
        <v>0</v>
      </c>
      <c r="Q22" s="9"/>
      <c r="R22" s="9"/>
      <c r="S22" s="9"/>
      <c r="T22" s="9"/>
      <c r="U22" s="10" cm="1">
        <f t="array" ref="U22">R22-S22-T22</f>
        <v>0</v>
      </c>
      <c r="V22" s="26"/>
      <c r="W22" s="26"/>
    </row>
    <row r="23" spans="1:23" ht="15" customHeight="1" thickBot="1">
      <c r="A23" s="5">
        <v>46254</v>
      </c>
      <c r="B23" s="6"/>
      <c r="C23" s="6"/>
      <c r="D23" s="6"/>
      <c r="E23" s="6"/>
      <c r="F23" s="7" cm="1">
        <f t="array" ref="F23">C23-D23-E23</f>
        <v>0</v>
      </c>
      <c r="G23" s="8"/>
      <c r="H23" s="8"/>
      <c r="I23" s="8"/>
      <c r="J23" s="8"/>
      <c r="K23" s="7" cm="1">
        <f t="array" ref="K23">H23-I23-J23</f>
        <v>0</v>
      </c>
      <c r="L23" s="9"/>
      <c r="M23" s="9"/>
      <c r="N23" s="9"/>
      <c r="O23" s="9"/>
      <c r="P23" s="7" cm="1">
        <f t="array" ref="P23">M23-N23-O23</f>
        <v>0</v>
      </c>
      <c r="Q23" s="9"/>
      <c r="R23" s="9"/>
      <c r="S23" s="9"/>
      <c r="T23" s="9"/>
      <c r="U23" s="10" cm="1">
        <f t="array" ref="U23">R23-S23-T23</f>
        <v>0</v>
      </c>
      <c r="V23" s="26"/>
      <c r="W23" s="26"/>
    </row>
    <row r="24" spans="1:23" ht="15" customHeight="1" thickBot="1">
      <c r="A24" s="5">
        <v>46255</v>
      </c>
      <c r="B24" s="6"/>
      <c r="C24" s="6"/>
      <c r="D24" s="6"/>
      <c r="E24" s="6"/>
      <c r="F24" s="7" cm="1">
        <f t="array" ref="F24">C24-D24-E24</f>
        <v>0</v>
      </c>
      <c r="G24" s="8"/>
      <c r="H24" s="8"/>
      <c r="I24" s="8"/>
      <c r="J24" s="8"/>
      <c r="K24" s="7" cm="1">
        <f t="array" ref="K24">H24-I24-J24</f>
        <v>0</v>
      </c>
      <c r="L24" s="9"/>
      <c r="M24" s="9"/>
      <c r="N24" s="9"/>
      <c r="O24" s="9"/>
      <c r="P24" s="7" cm="1">
        <f t="array" ref="P24">M24-N24-O24</f>
        <v>0</v>
      </c>
      <c r="Q24" s="9"/>
      <c r="R24" s="9"/>
      <c r="S24" s="9"/>
      <c r="T24" s="9"/>
      <c r="U24" s="10" cm="1">
        <f t="array" ref="U24">R24-S24-T24</f>
        <v>0</v>
      </c>
      <c r="V24" s="26"/>
      <c r="W24" s="26"/>
    </row>
    <row r="25" spans="1:23" ht="15" customHeight="1" thickBot="1">
      <c r="A25" s="5">
        <v>46256</v>
      </c>
      <c r="B25" s="6"/>
      <c r="C25" s="6"/>
      <c r="D25" s="6"/>
      <c r="E25" s="6"/>
      <c r="F25" s="7" cm="1">
        <f t="array" ref="F25">C25-D25-E25</f>
        <v>0</v>
      </c>
      <c r="G25" s="8"/>
      <c r="H25" s="8"/>
      <c r="I25" s="8"/>
      <c r="J25" s="8"/>
      <c r="K25" s="7" cm="1">
        <f t="array" ref="K25">H25-I25-J25</f>
        <v>0</v>
      </c>
      <c r="L25" s="9"/>
      <c r="M25" s="9"/>
      <c r="N25" s="9"/>
      <c r="O25" s="9"/>
      <c r="P25" s="7" cm="1">
        <f t="array" ref="P25">M25-N25-O25</f>
        <v>0</v>
      </c>
      <c r="Q25" s="9"/>
      <c r="R25" s="9"/>
      <c r="S25" s="9"/>
      <c r="T25" s="9"/>
      <c r="U25" s="10" cm="1">
        <f t="array" ref="U25">R25-S25-T25</f>
        <v>0</v>
      </c>
      <c r="V25" s="26"/>
      <c r="W25" s="26"/>
    </row>
    <row r="26" spans="1:23" ht="15" customHeight="1" thickBot="1">
      <c r="A26" s="5">
        <v>46257</v>
      </c>
      <c r="B26" s="6"/>
      <c r="C26" s="6"/>
      <c r="D26" s="6"/>
      <c r="E26" s="6"/>
      <c r="F26" s="7" cm="1">
        <f t="array" ref="F26">C26-D26-E26</f>
        <v>0</v>
      </c>
      <c r="G26" s="8"/>
      <c r="H26" s="8"/>
      <c r="I26" s="8"/>
      <c r="J26" s="8"/>
      <c r="K26" s="7" cm="1">
        <f t="array" ref="K26">H26-I26-J26</f>
        <v>0</v>
      </c>
      <c r="L26" s="9"/>
      <c r="M26" s="9"/>
      <c r="N26" s="9"/>
      <c r="O26" s="9"/>
      <c r="P26" s="7" cm="1">
        <f t="array" ref="P26">M26-N26-O26</f>
        <v>0</v>
      </c>
      <c r="Q26" s="9"/>
      <c r="R26" s="9"/>
      <c r="S26" s="9"/>
      <c r="T26" s="9"/>
      <c r="U26" s="10" cm="1">
        <f t="array" ref="U26">R26-S26-T26</f>
        <v>0</v>
      </c>
      <c r="V26" s="26"/>
      <c r="W26" s="26"/>
    </row>
    <row r="27" spans="1:23" ht="15" customHeight="1" thickBot="1">
      <c r="A27" s="5">
        <v>46258</v>
      </c>
      <c r="B27" s="6"/>
      <c r="C27" s="6"/>
      <c r="D27" s="6"/>
      <c r="E27" s="6"/>
      <c r="F27" s="7" cm="1">
        <f t="array" ref="F27">C27-D27-E27</f>
        <v>0</v>
      </c>
      <c r="G27" s="8"/>
      <c r="H27" s="8"/>
      <c r="I27" s="8"/>
      <c r="J27" s="8"/>
      <c r="K27" s="7" cm="1">
        <f t="array" ref="K27">H27-I27-J27</f>
        <v>0</v>
      </c>
      <c r="L27" s="9"/>
      <c r="M27" s="9"/>
      <c r="N27" s="9"/>
      <c r="O27" s="9"/>
      <c r="P27" s="7" cm="1">
        <f t="array" ref="P27">M27-N27-O27</f>
        <v>0</v>
      </c>
      <c r="Q27" s="9"/>
      <c r="R27" s="9"/>
      <c r="S27" s="9"/>
      <c r="T27" s="9"/>
      <c r="U27" s="10" cm="1">
        <f t="array" ref="U27">R27-S27-T27</f>
        <v>0</v>
      </c>
      <c r="V27" s="26"/>
      <c r="W27" s="26"/>
    </row>
    <row r="28" spans="1:23" ht="15" customHeight="1" thickBot="1">
      <c r="A28" s="5">
        <v>46259</v>
      </c>
      <c r="B28" s="6"/>
      <c r="C28" s="6"/>
      <c r="D28" s="6"/>
      <c r="E28" s="6"/>
      <c r="F28" s="7" cm="1">
        <f t="array" ref="F28">C28-D28-E28</f>
        <v>0</v>
      </c>
      <c r="G28" s="8"/>
      <c r="H28" s="8"/>
      <c r="I28" s="8"/>
      <c r="J28" s="8"/>
      <c r="K28" s="7" cm="1">
        <f t="array" ref="K28">H28-I28-J28</f>
        <v>0</v>
      </c>
      <c r="L28" s="9"/>
      <c r="M28" s="9"/>
      <c r="N28" s="9"/>
      <c r="O28" s="9"/>
      <c r="P28" s="7" cm="1">
        <f t="array" ref="P28">M28-N28-O28</f>
        <v>0</v>
      </c>
      <c r="Q28" s="9"/>
      <c r="R28" s="9"/>
      <c r="S28" s="9"/>
      <c r="T28" s="9"/>
      <c r="U28" s="10" cm="1">
        <f t="array" ref="U28">R28-S28-T28</f>
        <v>0</v>
      </c>
      <c r="V28" s="26"/>
      <c r="W28" s="26"/>
    </row>
    <row r="29" spans="1:23" ht="15" customHeight="1" thickBot="1">
      <c r="A29" s="5">
        <v>46260</v>
      </c>
      <c r="B29" s="6"/>
      <c r="C29" s="6"/>
      <c r="D29" s="6"/>
      <c r="E29" s="6"/>
      <c r="F29" s="7" cm="1">
        <f t="array" ref="F29">C29-D29-E29</f>
        <v>0</v>
      </c>
      <c r="G29" s="8"/>
      <c r="H29" s="8"/>
      <c r="I29" s="8"/>
      <c r="J29" s="8"/>
      <c r="K29" s="7" cm="1">
        <f t="array" ref="K29">H29-I29-J29</f>
        <v>0</v>
      </c>
      <c r="L29" s="9"/>
      <c r="M29" s="9"/>
      <c r="N29" s="9"/>
      <c r="O29" s="9"/>
      <c r="P29" s="7" cm="1">
        <f t="array" ref="P29">M29-N29-O29</f>
        <v>0</v>
      </c>
      <c r="Q29" s="9"/>
      <c r="R29" s="9"/>
      <c r="S29" s="9"/>
      <c r="T29" s="9"/>
      <c r="U29" s="10" cm="1">
        <f t="array" ref="U29">R29-S29-T29</f>
        <v>0</v>
      </c>
      <c r="V29" s="26"/>
      <c r="W29" s="26"/>
    </row>
    <row r="30" spans="1:23" ht="15" customHeight="1" thickBot="1">
      <c r="A30" s="5">
        <v>46261</v>
      </c>
      <c r="B30" s="6"/>
      <c r="C30" s="6"/>
      <c r="D30" s="6"/>
      <c r="E30" s="6"/>
      <c r="F30" s="7" cm="1">
        <f t="array" ref="F30">C30-D30-E30</f>
        <v>0</v>
      </c>
      <c r="G30" s="8"/>
      <c r="H30" s="8"/>
      <c r="I30" s="8"/>
      <c r="J30" s="8"/>
      <c r="K30" s="7" cm="1">
        <f t="array" ref="K30">H30-I30-J30</f>
        <v>0</v>
      </c>
      <c r="L30" s="9"/>
      <c r="M30" s="9"/>
      <c r="N30" s="9"/>
      <c r="O30" s="9"/>
      <c r="P30" s="7" cm="1">
        <f t="array" ref="P30">M30-N30-O30</f>
        <v>0</v>
      </c>
      <c r="Q30" s="9"/>
      <c r="R30" s="9"/>
      <c r="S30" s="9"/>
      <c r="T30" s="9"/>
      <c r="U30" s="10" cm="1">
        <f t="array" ref="U30">R30-S30-T30</f>
        <v>0</v>
      </c>
      <c r="V30" s="26"/>
      <c r="W30" s="26"/>
    </row>
    <row r="31" spans="1:23" ht="15" customHeight="1" thickBot="1">
      <c r="A31" s="5">
        <v>46262</v>
      </c>
      <c r="B31" s="6"/>
      <c r="C31" s="6"/>
      <c r="D31" s="6"/>
      <c r="E31" s="6"/>
      <c r="F31" s="7" cm="1">
        <f t="array" ref="F31">C31-D31-E31</f>
        <v>0</v>
      </c>
      <c r="G31" s="8"/>
      <c r="H31" s="8"/>
      <c r="I31" s="8"/>
      <c r="J31" s="8"/>
      <c r="K31" s="7" cm="1">
        <f t="array" ref="K31">H31-I31-J31</f>
        <v>0</v>
      </c>
      <c r="L31" s="9"/>
      <c r="M31" s="9"/>
      <c r="N31" s="9"/>
      <c r="O31" s="9"/>
      <c r="P31" s="7" cm="1">
        <f t="array" ref="P31">M31-N31-O31</f>
        <v>0</v>
      </c>
      <c r="Q31" s="9"/>
      <c r="R31" s="9"/>
      <c r="S31" s="9"/>
      <c r="T31" s="9"/>
      <c r="U31" s="10" cm="1">
        <f t="array" ref="U31">R31-S31-T31</f>
        <v>0</v>
      </c>
      <c r="V31" s="26"/>
      <c r="W31" s="26"/>
    </row>
    <row r="32" spans="1:23" ht="15" customHeight="1" thickBot="1">
      <c r="A32" s="5">
        <v>46263</v>
      </c>
      <c r="B32" s="6"/>
      <c r="C32" s="6"/>
      <c r="D32" s="6"/>
      <c r="E32" s="6"/>
      <c r="F32" s="7" cm="1">
        <f t="array" ref="F32">C32-D32-E32</f>
        <v>0</v>
      </c>
      <c r="G32" s="8"/>
      <c r="H32" s="8"/>
      <c r="I32" s="8"/>
      <c r="J32" s="8"/>
      <c r="K32" s="7" cm="1">
        <f t="array" ref="K32">H32-I32-J32</f>
        <v>0</v>
      </c>
      <c r="L32" s="9"/>
      <c r="M32" s="9"/>
      <c r="N32" s="9"/>
      <c r="O32" s="9"/>
      <c r="P32" s="7" cm="1">
        <f t="array" ref="P32">M32-N32-O32</f>
        <v>0</v>
      </c>
      <c r="Q32" s="9"/>
      <c r="R32" s="9"/>
      <c r="S32" s="9"/>
      <c r="T32" s="9"/>
      <c r="U32" s="10" cm="1">
        <f t="array" ref="U32">R32-S32-T32</f>
        <v>0</v>
      </c>
      <c r="V32" s="26"/>
      <c r="W32" s="26"/>
    </row>
    <row r="33" spans="1:23" ht="15" customHeight="1" thickBot="1">
      <c r="A33" s="5">
        <v>46264</v>
      </c>
      <c r="B33" s="6"/>
      <c r="C33" s="6"/>
      <c r="D33" s="6"/>
      <c r="E33" s="6"/>
      <c r="F33" s="7">
        <v>0</v>
      </c>
      <c r="G33" s="8"/>
      <c r="H33" s="8"/>
      <c r="I33" s="8"/>
      <c r="J33" s="8"/>
      <c r="K33" s="7" cm="1">
        <f t="array" ref="K33">H33-I33-J33</f>
        <v>0</v>
      </c>
      <c r="L33" s="9"/>
      <c r="M33" s="9"/>
      <c r="N33" s="9"/>
      <c r="O33" s="9"/>
      <c r="P33" s="7" cm="1">
        <f t="array" ref="P33">M33-N33-O33</f>
        <v>0</v>
      </c>
      <c r="Q33" s="9"/>
      <c r="R33" s="9"/>
      <c r="S33" s="9"/>
      <c r="T33" s="9"/>
      <c r="U33" s="10" cm="1">
        <f t="array" ref="U33">R33-S33-T33</f>
        <v>0</v>
      </c>
      <c r="V33" s="26"/>
      <c r="W33" s="26"/>
    </row>
    <row r="34" spans="1:23" ht="15" customHeight="1" thickBot="1">
      <c r="A34" s="12" t="s">
        <v>12</v>
      </c>
      <c r="B34" s="13">
        <v>1134100</v>
      </c>
      <c r="C34" s="13" cm="1">
        <f t="array" ref="C34">SUM(C4:C33)</f>
        <v>0</v>
      </c>
      <c r="D34" s="13" cm="1">
        <f t="array" ref="D34">SUM(D4:D33)</f>
        <v>0</v>
      </c>
      <c r="E34" s="13" cm="1">
        <f t="array" ref="E34">SUM(E4:E33)</f>
        <v>0</v>
      </c>
      <c r="F34" s="14" cm="1">
        <f t="array" ref="F34">C34-D34-E34</f>
        <v>0</v>
      </c>
      <c r="G34" s="15">
        <v>1517550</v>
      </c>
      <c r="H34" s="15" cm="1">
        <f t="array" ref="H34">SUM(H4:H33)</f>
        <v>0</v>
      </c>
      <c r="I34" s="15" cm="1">
        <f t="array" ref="I34">SUM(I4:I33)</f>
        <v>0</v>
      </c>
      <c r="J34" s="15" cm="1">
        <f t="array" ref="J34">SUM(J4:J33)</f>
        <v>0</v>
      </c>
      <c r="K34" s="14" cm="1">
        <f t="array" ref="K34">H34-I34-J34</f>
        <v>0</v>
      </c>
      <c r="L34" s="16">
        <v>982800</v>
      </c>
      <c r="M34" s="16" cm="1">
        <f t="array" ref="M34">SUM(M4:M33)</f>
        <v>0</v>
      </c>
      <c r="N34" s="16" cm="1">
        <f t="array" ref="N34">SUM(N4:N33)</f>
        <v>0</v>
      </c>
      <c r="O34" s="16" cm="1">
        <f t="array" ref="O34">SUM(O4:O33)</f>
        <v>0</v>
      </c>
      <c r="P34" s="14" cm="1">
        <f t="array" ref="P34">M34-N34-O34</f>
        <v>0</v>
      </c>
      <c r="Q34" s="16"/>
      <c r="R34" s="16">
        <f>SUM(R4:R33)</f>
        <v>0</v>
      </c>
      <c r="S34" s="16" cm="1">
        <f t="array" ref="S34">SUM(S4:S33)</f>
        <v>0</v>
      </c>
      <c r="T34" s="16" cm="1">
        <f t="array" ref="T34">SUM(T4:T33)</f>
        <v>0</v>
      </c>
      <c r="U34" s="17" cm="1">
        <f t="array" ref="U34">R34-S34-T34</f>
        <v>0</v>
      </c>
      <c r="V34" s="26" cm="1">
        <f t="array" ref="V34">SUM(F34,K34,P34)</f>
        <v>0</v>
      </c>
      <c r="W34" s="26">
        <v>31500</v>
      </c>
    </row>
  </sheetData>
  <mergeCells count="23">
    <mergeCell ref="A1:A3"/>
    <mergeCell ref="B1:F1"/>
    <mergeCell ref="G1:K1"/>
    <mergeCell ref="L1:P1"/>
    <mergeCell ref="V1:V3"/>
    <mergeCell ref="N2:O2"/>
    <mergeCell ref="P2:P3"/>
    <mergeCell ref="G2:G3"/>
    <mergeCell ref="H2:H3"/>
    <mergeCell ref="I2:J2"/>
    <mergeCell ref="K2:K3"/>
    <mergeCell ref="L2:L3"/>
    <mergeCell ref="M2:M3"/>
    <mergeCell ref="Q1:U1"/>
    <mergeCell ref="Q2:Q3"/>
    <mergeCell ref="R2:R3"/>
    <mergeCell ref="W1:W3"/>
    <mergeCell ref="B2:B3"/>
    <mergeCell ref="C2:C3"/>
    <mergeCell ref="D2:E2"/>
    <mergeCell ref="F2:F3"/>
    <mergeCell ref="S2:T2"/>
    <mergeCell ref="U2:U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34"/>
  <sheetViews>
    <sheetView showGridLines="0" topLeftCell="H1" workbookViewId="0">
      <selection activeCell="W4" sqref="W4"/>
    </sheetView>
  </sheetViews>
  <sheetFormatPr defaultColWidth="8.88671875" defaultRowHeight="14.4" customHeight="1"/>
  <cols>
    <col min="1" max="1" width="34.88671875" style="29" customWidth="1"/>
    <col min="2" max="2" width="16.44140625" style="29" customWidth="1"/>
    <col min="3" max="3" width="18.21875" style="29" customWidth="1"/>
    <col min="4" max="4" width="14.6640625" style="29" customWidth="1"/>
    <col min="5" max="5" width="17.21875" style="29" customWidth="1"/>
    <col min="6" max="6" width="14.44140625" style="29" customWidth="1"/>
    <col min="7" max="7" width="15" style="29" customWidth="1"/>
    <col min="8" max="8" width="15.21875" style="29" customWidth="1"/>
    <col min="9" max="9" width="14.44140625" style="29" customWidth="1"/>
    <col min="10" max="10" width="14.88671875" style="29" customWidth="1"/>
    <col min="11" max="12" width="15.88671875" style="29" customWidth="1"/>
    <col min="13" max="13" width="13.88671875" style="29" customWidth="1"/>
    <col min="14" max="14" width="11.6640625" style="29" customWidth="1"/>
    <col min="15" max="15" width="12.33203125" style="29" customWidth="1"/>
    <col min="16" max="16" width="15.44140625" style="29" customWidth="1"/>
    <col min="17" max="17" width="13.5546875" customWidth="1"/>
    <col min="18" max="18" width="14.21875" customWidth="1"/>
    <col min="19" max="19" width="11.109375" style="29" customWidth="1"/>
    <col min="20" max="20" width="11" style="29" customWidth="1"/>
    <col min="21" max="21" width="11.44140625" style="29" customWidth="1"/>
    <col min="22" max="22" width="14" style="29" customWidth="1"/>
    <col min="23" max="23" width="13.44140625" style="29" customWidth="1"/>
    <col min="24" max="16384" width="8.88671875" style="29"/>
  </cols>
  <sheetData>
    <row r="1" spans="1:23" ht="15" customHeight="1" thickBot="1">
      <c r="A1" s="47" t="s">
        <v>0</v>
      </c>
      <c r="B1" s="51" t="s">
        <v>1</v>
      </c>
      <c r="C1" s="52"/>
      <c r="D1" s="52"/>
      <c r="E1" s="52"/>
      <c r="F1" s="53"/>
      <c r="G1" s="60" t="s">
        <v>2</v>
      </c>
      <c r="H1" s="66"/>
      <c r="I1" s="66"/>
      <c r="J1" s="66"/>
      <c r="K1" s="61"/>
      <c r="L1" s="39" t="s">
        <v>3</v>
      </c>
      <c r="M1" s="65"/>
      <c r="N1" s="65"/>
      <c r="O1" s="65"/>
      <c r="P1" s="40"/>
      <c r="Q1" s="39" t="s">
        <v>14</v>
      </c>
      <c r="R1" s="65"/>
      <c r="S1" s="65"/>
      <c r="T1" s="65"/>
      <c r="U1" s="40"/>
      <c r="V1" s="67" t="s">
        <v>4</v>
      </c>
      <c r="W1" s="67" t="s">
        <v>5</v>
      </c>
    </row>
    <row r="2" spans="1:23" ht="15" customHeight="1" thickBot="1">
      <c r="A2" s="48"/>
      <c r="B2" s="49" t="s">
        <v>6</v>
      </c>
      <c r="C2" s="54" t="s">
        <v>7</v>
      </c>
      <c r="D2" s="51" t="s">
        <v>8</v>
      </c>
      <c r="E2" s="53"/>
      <c r="F2" s="33" t="s">
        <v>9</v>
      </c>
      <c r="G2" s="56" t="s">
        <v>6</v>
      </c>
      <c r="H2" s="58" t="s">
        <v>7</v>
      </c>
      <c r="I2" s="60" t="s">
        <v>8</v>
      </c>
      <c r="J2" s="61"/>
      <c r="K2" s="33" t="s">
        <v>9</v>
      </c>
      <c r="L2" s="35" t="s">
        <v>6</v>
      </c>
      <c r="M2" s="37" t="s">
        <v>7</v>
      </c>
      <c r="N2" s="39" t="s">
        <v>8</v>
      </c>
      <c r="O2" s="40"/>
      <c r="P2" s="33" t="s">
        <v>9</v>
      </c>
      <c r="Q2" s="35" t="s">
        <v>6</v>
      </c>
      <c r="R2" s="37" t="s">
        <v>7</v>
      </c>
      <c r="S2" s="39" t="s">
        <v>8</v>
      </c>
      <c r="T2" s="40"/>
      <c r="U2" s="33" t="s">
        <v>9</v>
      </c>
      <c r="V2" s="68"/>
      <c r="W2" s="68"/>
    </row>
    <row r="3" spans="1:23" ht="31.8" customHeight="1" thickBot="1">
      <c r="A3" s="48"/>
      <c r="B3" s="50"/>
      <c r="C3" s="55"/>
      <c r="D3" s="2" t="s">
        <v>10</v>
      </c>
      <c r="E3" s="2" t="s">
        <v>11</v>
      </c>
      <c r="F3" s="34"/>
      <c r="G3" s="57"/>
      <c r="H3" s="59"/>
      <c r="I3" s="3" t="s">
        <v>10</v>
      </c>
      <c r="J3" s="3" t="s">
        <v>11</v>
      </c>
      <c r="K3" s="34"/>
      <c r="L3" s="36"/>
      <c r="M3" s="38"/>
      <c r="N3" s="4" t="s">
        <v>10</v>
      </c>
      <c r="O3" s="4" t="s">
        <v>11</v>
      </c>
      <c r="P3" s="34"/>
      <c r="Q3" s="36"/>
      <c r="R3" s="38"/>
      <c r="S3" s="4" t="s">
        <v>10</v>
      </c>
      <c r="T3" s="4" t="s">
        <v>11</v>
      </c>
      <c r="U3" s="34"/>
      <c r="V3" s="68"/>
      <c r="W3" s="68"/>
    </row>
    <row r="4" spans="1:23" ht="15" customHeight="1" thickBot="1">
      <c r="A4" s="5">
        <v>46204</v>
      </c>
      <c r="B4" s="6"/>
      <c r="C4" s="6"/>
      <c r="D4" s="6"/>
      <c r="E4" s="6"/>
      <c r="F4" s="7" cm="1">
        <f t="array" ref="F4">C4-D4-E4</f>
        <v>0</v>
      </c>
      <c r="G4" s="8"/>
      <c r="H4" s="8"/>
      <c r="I4" s="8"/>
      <c r="J4" s="8"/>
      <c r="K4" s="7" cm="1">
        <f t="array" ref="K4">H4-I4-J4</f>
        <v>0</v>
      </c>
      <c r="L4" s="9"/>
      <c r="M4" s="9"/>
      <c r="N4" s="9"/>
      <c r="O4" s="9"/>
      <c r="P4" s="7" cm="1">
        <f t="array" ref="P4">M4-N4-O4</f>
        <v>0</v>
      </c>
      <c r="Q4" s="9"/>
      <c r="R4" s="9"/>
      <c r="S4" s="9"/>
      <c r="T4" s="9"/>
      <c r="U4" s="10" cm="1">
        <f t="array" ref="U4">R4-S4-T4</f>
        <v>0</v>
      </c>
      <c r="V4" s="26"/>
      <c r="W4" s="26"/>
    </row>
    <row r="5" spans="1:23" ht="15" customHeight="1" thickBot="1">
      <c r="A5" s="5">
        <v>46205</v>
      </c>
      <c r="B5" s="6"/>
      <c r="C5" s="6"/>
      <c r="D5" s="6"/>
      <c r="E5" s="6"/>
      <c r="F5" s="7" cm="1">
        <f t="array" ref="F5">C5-D5-E5</f>
        <v>0</v>
      </c>
      <c r="G5" s="8"/>
      <c r="H5" s="8"/>
      <c r="I5" s="8"/>
      <c r="J5" s="8"/>
      <c r="K5" s="7" cm="1">
        <f t="array" ref="K5">H5-I5-J5</f>
        <v>0</v>
      </c>
      <c r="L5" s="9"/>
      <c r="M5" s="9"/>
      <c r="N5" s="9"/>
      <c r="O5" s="9"/>
      <c r="P5" s="7" cm="1">
        <f t="array" ref="P5">M5-N5-O5</f>
        <v>0</v>
      </c>
      <c r="Q5" s="9"/>
      <c r="R5" s="9"/>
      <c r="S5" s="9"/>
      <c r="T5" s="9"/>
      <c r="U5" s="10" cm="1">
        <f t="array" ref="U5">R5-S5-T5</f>
        <v>0</v>
      </c>
      <c r="V5" s="26"/>
      <c r="W5" s="26"/>
    </row>
    <row r="6" spans="1:23" ht="15" customHeight="1" thickBot="1">
      <c r="A6" s="5">
        <v>46206</v>
      </c>
      <c r="B6" s="6"/>
      <c r="C6" s="6"/>
      <c r="D6" s="6"/>
      <c r="E6" s="6"/>
      <c r="F6" s="7" cm="1">
        <f t="array" ref="F6">C6-D6-E6</f>
        <v>0</v>
      </c>
      <c r="G6" s="8"/>
      <c r="H6" s="8"/>
      <c r="I6" s="8"/>
      <c r="J6" s="8"/>
      <c r="K6" s="7" cm="1">
        <f t="array" ref="K6">H6-I6-J6</f>
        <v>0</v>
      </c>
      <c r="L6" s="9"/>
      <c r="M6" s="9"/>
      <c r="N6" s="9"/>
      <c r="O6" s="9"/>
      <c r="P6" s="7" cm="1">
        <f t="array" ref="P6">M6-N6-O6</f>
        <v>0</v>
      </c>
      <c r="Q6" s="9"/>
      <c r="R6" s="9"/>
      <c r="S6" s="9"/>
      <c r="T6" s="9"/>
      <c r="U6" s="10" cm="1">
        <f t="array" ref="U6">R6-S6-T6</f>
        <v>0</v>
      </c>
      <c r="V6" s="26"/>
      <c r="W6" s="26"/>
    </row>
    <row r="7" spans="1:23" ht="15" customHeight="1" thickBot="1">
      <c r="A7" s="5">
        <v>46207</v>
      </c>
      <c r="B7" s="6"/>
      <c r="C7" s="6"/>
      <c r="D7" s="6"/>
      <c r="E7" s="6"/>
      <c r="F7" s="7" cm="1">
        <f t="array" ref="F7">C7-D7-E7</f>
        <v>0</v>
      </c>
      <c r="G7" s="8"/>
      <c r="H7" s="8"/>
      <c r="I7" s="8"/>
      <c r="J7" s="8"/>
      <c r="K7" s="7" cm="1">
        <f t="array" ref="K7">H7-I7-J7</f>
        <v>0</v>
      </c>
      <c r="L7" s="9"/>
      <c r="M7" s="9"/>
      <c r="N7" s="9"/>
      <c r="O7" s="9"/>
      <c r="P7" s="7" cm="1">
        <f t="array" ref="P7">M7-N7-O7</f>
        <v>0</v>
      </c>
      <c r="Q7" s="9"/>
      <c r="R7" s="9"/>
      <c r="S7" s="9"/>
      <c r="T7" s="9"/>
      <c r="U7" s="10" cm="1">
        <f t="array" ref="U7">R7-S7-T7</f>
        <v>0</v>
      </c>
      <c r="V7" s="26"/>
      <c r="W7" s="26"/>
    </row>
    <row r="8" spans="1:23" ht="15" customHeight="1" thickBot="1">
      <c r="A8" s="5">
        <v>46208</v>
      </c>
      <c r="B8" s="6"/>
      <c r="C8" s="6"/>
      <c r="D8" s="6"/>
      <c r="E8" s="6"/>
      <c r="F8" s="7" cm="1">
        <f t="array" ref="F8">C8-D8-E8</f>
        <v>0</v>
      </c>
      <c r="G8" s="8"/>
      <c r="H8" s="8"/>
      <c r="I8" s="8"/>
      <c r="J8" s="8"/>
      <c r="K8" s="7" cm="1">
        <f t="array" ref="K8">H8-I8-J8</f>
        <v>0</v>
      </c>
      <c r="L8" s="9"/>
      <c r="M8" s="9"/>
      <c r="N8" s="9"/>
      <c r="O8" s="9"/>
      <c r="P8" s="7" cm="1">
        <f t="array" ref="P8">M8-N8-O8</f>
        <v>0</v>
      </c>
      <c r="Q8" s="9"/>
      <c r="R8" s="9"/>
      <c r="S8" s="9"/>
      <c r="T8" s="9"/>
      <c r="U8" s="10" cm="1">
        <f t="array" ref="U8">R8-S8-T8</f>
        <v>0</v>
      </c>
      <c r="V8" s="26"/>
      <c r="W8" s="26"/>
    </row>
    <row r="9" spans="1:23" ht="15" customHeight="1" thickBot="1">
      <c r="A9" s="5">
        <v>46209</v>
      </c>
      <c r="B9" s="6"/>
      <c r="C9" s="6"/>
      <c r="D9" s="6"/>
      <c r="E9" s="6"/>
      <c r="F9" s="7" cm="1">
        <f t="array" ref="F9">C9-D9-E9</f>
        <v>0</v>
      </c>
      <c r="G9" s="8"/>
      <c r="H9" s="8"/>
      <c r="I9" s="8"/>
      <c r="J9" s="8"/>
      <c r="K9" s="7" cm="1">
        <f t="array" ref="K9">H9-I9-J9</f>
        <v>0</v>
      </c>
      <c r="L9" s="9"/>
      <c r="M9" s="9"/>
      <c r="N9" s="9"/>
      <c r="O9" s="9"/>
      <c r="P9" s="7" cm="1">
        <f t="array" ref="P9">M9-N9-O9</f>
        <v>0</v>
      </c>
      <c r="Q9" s="9"/>
      <c r="R9" s="9"/>
      <c r="S9" s="9"/>
      <c r="T9" s="9"/>
      <c r="U9" s="10" cm="1">
        <f t="array" ref="U9">R9-S9-T9</f>
        <v>0</v>
      </c>
      <c r="V9" s="26"/>
      <c r="W9" s="26"/>
    </row>
    <row r="10" spans="1:23" ht="15" customHeight="1" thickBot="1">
      <c r="A10" s="5">
        <v>46210</v>
      </c>
      <c r="B10" s="6"/>
      <c r="C10" s="6"/>
      <c r="D10" s="6"/>
      <c r="E10" s="6"/>
      <c r="F10" s="7" cm="1">
        <f t="array" ref="F10">C10-D10-E10</f>
        <v>0</v>
      </c>
      <c r="G10" s="8"/>
      <c r="H10" s="8"/>
      <c r="I10" s="8"/>
      <c r="J10" s="8"/>
      <c r="K10" s="7" cm="1">
        <f t="array" ref="K10">H10-I10-J10</f>
        <v>0</v>
      </c>
      <c r="L10" s="9"/>
      <c r="M10" s="9"/>
      <c r="N10" s="9"/>
      <c r="O10" s="9"/>
      <c r="P10" s="7" cm="1">
        <f t="array" ref="P10">M10-N10-O10</f>
        <v>0</v>
      </c>
      <c r="Q10" s="9"/>
      <c r="R10" s="9"/>
      <c r="S10" s="9"/>
      <c r="T10" s="9"/>
      <c r="U10" s="10" cm="1">
        <f t="array" ref="U10">R10-S10-T10</f>
        <v>0</v>
      </c>
      <c r="V10" s="26"/>
      <c r="W10" s="26"/>
    </row>
    <row r="11" spans="1:23" ht="15" customHeight="1" thickBot="1">
      <c r="A11" s="5">
        <v>46211</v>
      </c>
      <c r="B11" s="6"/>
      <c r="C11" s="6"/>
      <c r="D11" s="6"/>
      <c r="E11" s="6"/>
      <c r="F11" s="7" cm="1">
        <f t="array" ref="F11">C11-D11-E11</f>
        <v>0</v>
      </c>
      <c r="G11" s="8"/>
      <c r="H11" s="8"/>
      <c r="I11" s="8"/>
      <c r="J11" s="8"/>
      <c r="K11" s="7" cm="1">
        <f t="array" ref="K11">H11-I11-J11</f>
        <v>0</v>
      </c>
      <c r="L11" s="9"/>
      <c r="M11" s="9"/>
      <c r="N11" s="9"/>
      <c r="O11" s="9"/>
      <c r="P11" s="7" cm="1">
        <f t="array" ref="P11">M11-N11-O11</f>
        <v>0</v>
      </c>
      <c r="Q11" s="9"/>
      <c r="R11" s="9"/>
      <c r="S11" s="9"/>
      <c r="T11" s="9"/>
      <c r="U11" s="10" cm="1">
        <f t="array" ref="U11">R11-S11-T11</f>
        <v>0</v>
      </c>
      <c r="V11" s="26"/>
      <c r="W11" s="26"/>
    </row>
    <row r="12" spans="1:23" ht="15" customHeight="1" thickBot="1">
      <c r="A12" s="5">
        <v>46212</v>
      </c>
      <c r="B12" s="6"/>
      <c r="C12" s="6"/>
      <c r="D12" s="6"/>
      <c r="E12" s="6"/>
      <c r="F12" s="7" cm="1">
        <f t="array" ref="F12">C12-D12-E12</f>
        <v>0</v>
      </c>
      <c r="G12" s="8"/>
      <c r="H12" s="8"/>
      <c r="I12" s="8"/>
      <c r="J12" s="8"/>
      <c r="K12" s="7" cm="1">
        <f t="array" ref="K12">H12-I12-J12</f>
        <v>0</v>
      </c>
      <c r="L12" s="9"/>
      <c r="M12" s="9"/>
      <c r="N12" s="9"/>
      <c r="O12" s="9"/>
      <c r="P12" s="7" cm="1">
        <f t="array" ref="P12">M12-N12-O12</f>
        <v>0</v>
      </c>
      <c r="Q12" s="9"/>
      <c r="R12" s="9"/>
      <c r="S12" s="9"/>
      <c r="T12" s="9"/>
      <c r="U12" s="10" cm="1">
        <f t="array" ref="U12">R12-S12-T12</f>
        <v>0</v>
      </c>
      <c r="V12" s="26"/>
      <c r="W12" s="26"/>
    </row>
    <row r="13" spans="1:23" ht="15" customHeight="1" thickBot="1">
      <c r="A13" s="5">
        <v>46213</v>
      </c>
      <c r="B13" s="6"/>
      <c r="C13" s="6"/>
      <c r="D13" s="6"/>
      <c r="E13" s="6"/>
      <c r="F13" s="7" cm="1">
        <f t="array" ref="F13">C13-D13-E13</f>
        <v>0</v>
      </c>
      <c r="G13" s="8"/>
      <c r="H13" s="8"/>
      <c r="I13" s="8"/>
      <c r="J13" s="8"/>
      <c r="K13" s="7" cm="1">
        <f t="array" ref="K13">H13-I13-J13</f>
        <v>0</v>
      </c>
      <c r="L13" s="9"/>
      <c r="M13" s="9"/>
      <c r="N13" s="9"/>
      <c r="O13" s="9"/>
      <c r="P13" s="7" cm="1">
        <f t="array" ref="P13">M13-N13-O13</f>
        <v>0</v>
      </c>
      <c r="Q13" s="9"/>
      <c r="R13" s="9"/>
      <c r="S13" s="9"/>
      <c r="T13" s="9"/>
      <c r="U13" s="10" cm="1">
        <f t="array" ref="U13">R13-S13-T13</f>
        <v>0</v>
      </c>
      <c r="V13" s="26"/>
      <c r="W13" s="26"/>
    </row>
    <row r="14" spans="1:23" ht="15" customHeight="1" thickBot="1">
      <c r="A14" s="5">
        <v>46214</v>
      </c>
      <c r="B14" s="6"/>
      <c r="C14" s="6"/>
      <c r="D14" s="6"/>
      <c r="E14" s="6"/>
      <c r="F14" s="7" cm="1">
        <f t="array" ref="F14">C14-D14-E14</f>
        <v>0</v>
      </c>
      <c r="G14" s="8"/>
      <c r="H14" s="8"/>
      <c r="I14" s="8"/>
      <c r="J14" s="8"/>
      <c r="K14" s="7" cm="1">
        <f t="array" ref="K14">H14-I14-J14</f>
        <v>0</v>
      </c>
      <c r="L14" s="9"/>
      <c r="M14" s="9"/>
      <c r="N14" s="9"/>
      <c r="O14" s="9"/>
      <c r="P14" s="7" cm="1">
        <f t="array" ref="P14">M14-N14-O14</f>
        <v>0</v>
      </c>
      <c r="Q14" s="9"/>
      <c r="R14" s="9"/>
      <c r="S14" s="9"/>
      <c r="T14" s="9"/>
      <c r="U14" s="10" cm="1">
        <f t="array" ref="U14">R14-S14-T14</f>
        <v>0</v>
      </c>
      <c r="V14" s="26"/>
      <c r="W14" s="26"/>
    </row>
    <row r="15" spans="1:23" ht="15" customHeight="1" thickBot="1">
      <c r="A15" s="5">
        <v>46215</v>
      </c>
      <c r="B15" s="6"/>
      <c r="C15" s="6"/>
      <c r="D15" s="6"/>
      <c r="E15" s="6"/>
      <c r="F15" s="7" cm="1">
        <f t="array" ref="F15">C15-D15-E15</f>
        <v>0</v>
      </c>
      <c r="G15" s="8"/>
      <c r="H15" s="8"/>
      <c r="I15" s="8"/>
      <c r="J15" s="8"/>
      <c r="K15" s="7" cm="1">
        <f t="array" ref="K15">H15-I15-J15</f>
        <v>0</v>
      </c>
      <c r="L15" s="9"/>
      <c r="M15" s="9"/>
      <c r="N15" s="9"/>
      <c r="O15" s="9"/>
      <c r="P15" s="7" cm="1">
        <f t="array" ref="P15">M15-N15-O15</f>
        <v>0</v>
      </c>
      <c r="Q15" s="9"/>
      <c r="R15" s="9"/>
      <c r="S15" s="9"/>
      <c r="T15" s="9"/>
      <c r="U15" s="10" cm="1">
        <f t="array" ref="U15">R15-S15-T15</f>
        <v>0</v>
      </c>
      <c r="V15" s="26"/>
      <c r="W15" s="26"/>
    </row>
    <row r="16" spans="1:23" ht="15" customHeight="1" thickBot="1">
      <c r="A16" s="5">
        <v>46216</v>
      </c>
      <c r="B16" s="6"/>
      <c r="C16" s="6"/>
      <c r="D16" s="6"/>
      <c r="E16" s="6"/>
      <c r="F16" s="7" cm="1">
        <f t="array" ref="F16">C16-D16-E16</f>
        <v>0</v>
      </c>
      <c r="G16" s="8"/>
      <c r="H16" s="8"/>
      <c r="I16" s="8"/>
      <c r="J16" s="8"/>
      <c r="K16" s="7" cm="1">
        <f t="array" ref="K16">H16-I16-J16</f>
        <v>0</v>
      </c>
      <c r="L16" s="9"/>
      <c r="M16" s="9"/>
      <c r="N16" s="9"/>
      <c r="O16" s="9"/>
      <c r="P16" s="7" cm="1">
        <f t="array" ref="P16">M16-N16-O16</f>
        <v>0</v>
      </c>
      <c r="Q16" s="9"/>
      <c r="R16" s="9"/>
      <c r="S16" s="9"/>
      <c r="T16" s="9"/>
      <c r="U16" s="10" cm="1">
        <f t="array" ref="U16">R16-S16-T16</f>
        <v>0</v>
      </c>
      <c r="V16" s="26"/>
      <c r="W16" s="26"/>
    </row>
    <row r="17" spans="1:23" ht="15" customHeight="1" thickBot="1">
      <c r="A17" s="5">
        <v>46217</v>
      </c>
      <c r="B17" s="6"/>
      <c r="C17" s="6"/>
      <c r="D17" s="6"/>
      <c r="E17" s="6"/>
      <c r="F17" s="7" cm="1">
        <f t="array" ref="F17">C17-D17-E17</f>
        <v>0</v>
      </c>
      <c r="G17" s="8"/>
      <c r="H17" s="8"/>
      <c r="I17" s="8"/>
      <c r="J17" s="8"/>
      <c r="K17" s="7" cm="1">
        <f t="array" ref="K17">H17-I17-J17</f>
        <v>0</v>
      </c>
      <c r="L17" s="9"/>
      <c r="M17" s="9"/>
      <c r="N17" s="9"/>
      <c r="O17" s="9"/>
      <c r="P17" s="7" cm="1">
        <f t="array" ref="P17">M17-N17-O17</f>
        <v>0</v>
      </c>
      <c r="Q17" s="9"/>
      <c r="R17" s="9"/>
      <c r="S17" s="9"/>
      <c r="T17" s="9"/>
      <c r="U17" s="10" cm="1">
        <f t="array" ref="U17">R17-S17-T17</f>
        <v>0</v>
      </c>
      <c r="V17" s="26"/>
      <c r="W17" s="26"/>
    </row>
    <row r="18" spans="1:23" ht="15" customHeight="1" thickBot="1">
      <c r="A18" s="5">
        <v>46218</v>
      </c>
      <c r="B18" s="6"/>
      <c r="C18" s="6"/>
      <c r="D18" s="6"/>
      <c r="E18" s="6"/>
      <c r="F18" s="7" cm="1">
        <f t="array" ref="F18">C18-D18-E18</f>
        <v>0</v>
      </c>
      <c r="G18" s="8"/>
      <c r="H18" s="8"/>
      <c r="I18" s="8"/>
      <c r="J18" s="8"/>
      <c r="K18" s="7" cm="1">
        <f t="array" ref="K18">H18-I18-J18</f>
        <v>0</v>
      </c>
      <c r="L18" s="9"/>
      <c r="M18" s="9"/>
      <c r="N18" s="9"/>
      <c r="O18" s="9"/>
      <c r="P18" s="7" cm="1">
        <f t="array" ref="P18">M18-N18-O18</f>
        <v>0</v>
      </c>
      <c r="Q18" s="9"/>
      <c r="R18" s="9"/>
      <c r="S18" s="9"/>
      <c r="T18" s="9"/>
      <c r="U18" s="10" cm="1">
        <f t="array" ref="U18">R18-S18-T18</f>
        <v>0</v>
      </c>
      <c r="V18" s="26"/>
      <c r="W18" s="26"/>
    </row>
    <row r="19" spans="1:23" ht="15" customHeight="1" thickBot="1">
      <c r="A19" s="5">
        <v>46219</v>
      </c>
      <c r="B19" s="6"/>
      <c r="C19" s="6"/>
      <c r="D19" s="6"/>
      <c r="E19" s="6"/>
      <c r="F19" s="7" cm="1">
        <f t="array" ref="F19">C19-D19-E19</f>
        <v>0</v>
      </c>
      <c r="G19" s="8"/>
      <c r="H19" s="8"/>
      <c r="I19" s="8"/>
      <c r="J19" s="8"/>
      <c r="K19" s="7" cm="1">
        <f t="array" ref="K19">H19-I19-J19</f>
        <v>0</v>
      </c>
      <c r="L19" s="9"/>
      <c r="M19" s="9"/>
      <c r="N19" s="9"/>
      <c r="O19" s="9"/>
      <c r="P19" s="7" cm="1">
        <f t="array" ref="P19">M19-N19-O19</f>
        <v>0</v>
      </c>
      <c r="Q19" s="9"/>
      <c r="R19" s="9"/>
      <c r="S19" s="9"/>
      <c r="T19" s="9"/>
      <c r="U19" s="10" cm="1">
        <f t="array" ref="U19">R19-S19-T19</f>
        <v>0</v>
      </c>
      <c r="V19" s="26"/>
      <c r="W19" s="26"/>
    </row>
    <row r="20" spans="1:23" ht="15" customHeight="1" thickBot="1">
      <c r="A20" s="5">
        <v>46220</v>
      </c>
      <c r="B20" s="6"/>
      <c r="C20" s="6"/>
      <c r="D20" s="6"/>
      <c r="E20" s="6"/>
      <c r="F20" s="7" cm="1">
        <f t="array" ref="F20">C20-D20-E20</f>
        <v>0</v>
      </c>
      <c r="G20" s="8"/>
      <c r="H20" s="8"/>
      <c r="I20" s="8"/>
      <c r="J20" s="8"/>
      <c r="K20" s="7" cm="1">
        <f t="array" ref="K20">H20-I20-J20</f>
        <v>0</v>
      </c>
      <c r="L20" s="9"/>
      <c r="M20" s="9"/>
      <c r="N20" s="9"/>
      <c r="O20" s="9"/>
      <c r="P20" s="7" cm="1">
        <f t="array" ref="P20">M20-N20-O20</f>
        <v>0</v>
      </c>
      <c r="Q20" s="9"/>
      <c r="R20" s="9"/>
      <c r="S20" s="9"/>
      <c r="T20" s="9"/>
      <c r="U20" s="10" cm="1">
        <f t="array" ref="U20">R20-S20-T20</f>
        <v>0</v>
      </c>
      <c r="V20" s="26"/>
      <c r="W20" s="26"/>
    </row>
    <row r="21" spans="1:23" ht="15" customHeight="1" thickBot="1">
      <c r="A21" s="5">
        <v>46221</v>
      </c>
      <c r="B21" s="6"/>
      <c r="C21" s="6"/>
      <c r="D21" s="6"/>
      <c r="E21" s="6"/>
      <c r="F21" s="7" cm="1">
        <f t="array" ref="F21">C21-D21-E21</f>
        <v>0</v>
      </c>
      <c r="G21" s="8"/>
      <c r="H21" s="8"/>
      <c r="I21" s="8"/>
      <c r="J21" s="8"/>
      <c r="K21" s="7" cm="1">
        <f t="array" ref="K21">H21-I21-J21</f>
        <v>0</v>
      </c>
      <c r="L21" s="9"/>
      <c r="M21" s="9"/>
      <c r="N21" s="9"/>
      <c r="O21" s="9"/>
      <c r="P21" s="7" cm="1">
        <f t="array" ref="P21">M21-N21-O21</f>
        <v>0</v>
      </c>
      <c r="Q21" s="9"/>
      <c r="R21" s="9"/>
      <c r="S21" s="9"/>
      <c r="T21" s="9"/>
      <c r="U21" s="10" cm="1">
        <f t="array" ref="U21">R21-S21-T21</f>
        <v>0</v>
      </c>
      <c r="V21" s="26"/>
      <c r="W21" s="26"/>
    </row>
    <row r="22" spans="1:23" ht="15" customHeight="1" thickBot="1">
      <c r="A22" s="5">
        <v>46222</v>
      </c>
      <c r="B22" s="6"/>
      <c r="C22" s="6"/>
      <c r="D22" s="6"/>
      <c r="E22" s="6"/>
      <c r="F22" s="7" cm="1">
        <f t="array" ref="F22">C22-D22-E22</f>
        <v>0</v>
      </c>
      <c r="G22" s="8"/>
      <c r="H22" s="8"/>
      <c r="I22" s="8"/>
      <c r="J22" s="8"/>
      <c r="K22" s="7" cm="1">
        <f t="array" ref="K22">H22-I22-J22</f>
        <v>0</v>
      </c>
      <c r="L22" s="9"/>
      <c r="M22" s="9"/>
      <c r="N22" s="9"/>
      <c r="O22" s="9"/>
      <c r="P22" s="7" cm="1">
        <f t="array" ref="P22">M22-N22-O22</f>
        <v>0</v>
      </c>
      <c r="Q22" s="9"/>
      <c r="R22" s="9"/>
      <c r="S22" s="9"/>
      <c r="T22" s="9"/>
      <c r="U22" s="10" cm="1">
        <f t="array" ref="U22">R22-S22-T22</f>
        <v>0</v>
      </c>
      <c r="V22" s="26"/>
      <c r="W22" s="26"/>
    </row>
    <row r="23" spans="1:23" ht="15" customHeight="1" thickBot="1">
      <c r="A23" s="5">
        <v>46223</v>
      </c>
      <c r="B23" s="6"/>
      <c r="C23" s="6"/>
      <c r="D23" s="6"/>
      <c r="E23" s="6"/>
      <c r="F23" s="7" cm="1">
        <f t="array" ref="F23">C23-D23-E23</f>
        <v>0</v>
      </c>
      <c r="G23" s="8"/>
      <c r="H23" s="8"/>
      <c r="I23" s="8"/>
      <c r="J23" s="8"/>
      <c r="K23" s="7" cm="1">
        <f t="array" ref="K23">H23-I23-J23</f>
        <v>0</v>
      </c>
      <c r="L23" s="9"/>
      <c r="M23" s="9"/>
      <c r="N23" s="9"/>
      <c r="O23" s="9"/>
      <c r="P23" s="7" cm="1">
        <f t="array" ref="P23">M23-N23-O23</f>
        <v>0</v>
      </c>
      <c r="Q23" s="9"/>
      <c r="R23" s="9"/>
      <c r="S23" s="9"/>
      <c r="T23" s="9"/>
      <c r="U23" s="10" cm="1">
        <f t="array" ref="U23">R23-S23-T23</f>
        <v>0</v>
      </c>
      <c r="V23" s="26"/>
      <c r="W23" s="26"/>
    </row>
    <row r="24" spans="1:23" ht="15" customHeight="1" thickBot="1">
      <c r="A24" s="5">
        <v>46224</v>
      </c>
      <c r="B24" s="6"/>
      <c r="C24" s="6"/>
      <c r="D24" s="6"/>
      <c r="E24" s="6"/>
      <c r="F24" s="7" cm="1">
        <f t="array" ref="F24">C24-D24-E24</f>
        <v>0</v>
      </c>
      <c r="G24" s="8"/>
      <c r="H24" s="8"/>
      <c r="I24" s="8"/>
      <c r="J24" s="8"/>
      <c r="K24" s="7" cm="1">
        <f t="array" ref="K24">H24-I24-J24</f>
        <v>0</v>
      </c>
      <c r="L24" s="9"/>
      <c r="M24" s="9"/>
      <c r="N24" s="9"/>
      <c r="O24" s="9"/>
      <c r="P24" s="7" cm="1">
        <f t="array" ref="P24">M24-N24-O24</f>
        <v>0</v>
      </c>
      <c r="Q24" s="9"/>
      <c r="R24" s="9"/>
      <c r="S24" s="9"/>
      <c r="T24" s="9"/>
      <c r="U24" s="10" cm="1">
        <f t="array" ref="U24">R24-S24-T24</f>
        <v>0</v>
      </c>
      <c r="V24" s="26"/>
      <c r="W24" s="26"/>
    </row>
    <row r="25" spans="1:23" ht="15" customHeight="1" thickBot="1">
      <c r="A25" s="5">
        <v>46225</v>
      </c>
      <c r="B25" s="6"/>
      <c r="C25" s="6"/>
      <c r="D25" s="6"/>
      <c r="E25" s="6"/>
      <c r="F25" s="7" cm="1">
        <f t="array" ref="F25">C25-D25-E25</f>
        <v>0</v>
      </c>
      <c r="G25" s="8"/>
      <c r="H25" s="8"/>
      <c r="I25" s="8"/>
      <c r="J25" s="8"/>
      <c r="K25" s="7" cm="1">
        <f t="array" ref="K25">H25-I25-J25</f>
        <v>0</v>
      </c>
      <c r="L25" s="9"/>
      <c r="M25" s="9"/>
      <c r="N25" s="9"/>
      <c r="O25" s="9"/>
      <c r="P25" s="7" cm="1">
        <f t="array" ref="P25">M25-N25-O25</f>
        <v>0</v>
      </c>
      <c r="Q25" s="9"/>
      <c r="R25" s="9"/>
      <c r="S25" s="9"/>
      <c r="T25" s="9"/>
      <c r="U25" s="10" cm="1">
        <f t="array" ref="U25">R25-S25-T25</f>
        <v>0</v>
      </c>
      <c r="V25" s="26"/>
      <c r="W25" s="26"/>
    </row>
    <row r="26" spans="1:23" ht="15" customHeight="1" thickBot="1">
      <c r="A26" s="5">
        <v>46226</v>
      </c>
      <c r="B26" s="6"/>
      <c r="C26" s="6"/>
      <c r="D26" s="6"/>
      <c r="E26" s="6"/>
      <c r="F26" s="7" cm="1">
        <f t="array" ref="F26">C26-D26-E26</f>
        <v>0</v>
      </c>
      <c r="G26" s="8"/>
      <c r="H26" s="8"/>
      <c r="I26" s="8"/>
      <c r="J26" s="8"/>
      <c r="K26" s="7" cm="1">
        <f t="array" ref="K26">H26-I26-J26</f>
        <v>0</v>
      </c>
      <c r="L26" s="9"/>
      <c r="M26" s="9"/>
      <c r="N26" s="9"/>
      <c r="O26" s="9"/>
      <c r="P26" s="7" cm="1">
        <f t="array" ref="P26">M26-N26-O26</f>
        <v>0</v>
      </c>
      <c r="Q26" s="9"/>
      <c r="R26" s="9"/>
      <c r="S26" s="9"/>
      <c r="T26" s="9"/>
      <c r="U26" s="10" cm="1">
        <f t="array" ref="U26">R26-S26-T26</f>
        <v>0</v>
      </c>
      <c r="V26" s="26"/>
      <c r="W26" s="26"/>
    </row>
    <row r="27" spans="1:23" ht="15" customHeight="1" thickBot="1">
      <c r="A27" s="5">
        <v>46227</v>
      </c>
      <c r="B27" s="6"/>
      <c r="C27" s="6"/>
      <c r="D27" s="6"/>
      <c r="E27" s="6"/>
      <c r="F27" s="7" cm="1">
        <f t="array" ref="F27">C27-D27-E27</f>
        <v>0</v>
      </c>
      <c r="G27" s="8"/>
      <c r="H27" s="8"/>
      <c r="I27" s="8"/>
      <c r="J27" s="8"/>
      <c r="K27" s="7" cm="1">
        <f t="array" ref="K27">H27-I27-J27</f>
        <v>0</v>
      </c>
      <c r="L27" s="9"/>
      <c r="M27" s="9"/>
      <c r="N27" s="9"/>
      <c r="O27" s="9"/>
      <c r="P27" s="7" cm="1">
        <f t="array" ref="P27">M27-N27-O27</f>
        <v>0</v>
      </c>
      <c r="Q27" s="9"/>
      <c r="R27" s="9"/>
      <c r="S27" s="9"/>
      <c r="T27" s="9"/>
      <c r="U27" s="10" cm="1">
        <f t="array" ref="U27">R27-S27-T27</f>
        <v>0</v>
      </c>
      <c r="V27" s="26"/>
      <c r="W27" s="26"/>
    </row>
    <row r="28" spans="1:23" ht="15" customHeight="1" thickBot="1">
      <c r="A28" s="5">
        <v>46228</v>
      </c>
      <c r="B28" s="6"/>
      <c r="C28" s="6"/>
      <c r="D28" s="6"/>
      <c r="E28" s="6"/>
      <c r="F28" s="7" cm="1">
        <f t="array" ref="F28">C28-D28-E28</f>
        <v>0</v>
      </c>
      <c r="G28" s="8"/>
      <c r="H28" s="8"/>
      <c r="I28" s="8"/>
      <c r="J28" s="8"/>
      <c r="K28" s="7" cm="1">
        <f t="array" ref="K28">H28-I28-J28</f>
        <v>0</v>
      </c>
      <c r="L28" s="9"/>
      <c r="M28" s="9"/>
      <c r="N28" s="9"/>
      <c r="O28" s="9"/>
      <c r="P28" s="7" cm="1">
        <f t="array" ref="P28">M28-N28-O28</f>
        <v>0</v>
      </c>
      <c r="Q28" s="9"/>
      <c r="R28" s="9"/>
      <c r="S28" s="9"/>
      <c r="T28" s="9"/>
      <c r="U28" s="10" cm="1">
        <f t="array" ref="U28">R28-S28-T28</f>
        <v>0</v>
      </c>
      <c r="V28" s="26"/>
      <c r="W28" s="26"/>
    </row>
    <row r="29" spans="1:23" ht="15" customHeight="1" thickBot="1">
      <c r="A29" s="5">
        <v>46229</v>
      </c>
      <c r="B29" s="6"/>
      <c r="C29" s="6"/>
      <c r="D29" s="6"/>
      <c r="E29" s="6"/>
      <c r="F29" s="7" cm="1">
        <f t="array" ref="F29">C29-D29-E29</f>
        <v>0</v>
      </c>
      <c r="G29" s="8"/>
      <c r="H29" s="8"/>
      <c r="I29" s="8"/>
      <c r="J29" s="8"/>
      <c r="K29" s="7" cm="1">
        <f t="array" ref="K29">H29-I29-J29</f>
        <v>0</v>
      </c>
      <c r="L29" s="9"/>
      <c r="M29" s="9"/>
      <c r="N29" s="9"/>
      <c r="O29" s="9"/>
      <c r="P29" s="7" cm="1">
        <f t="array" ref="P29">M29-N29-O29</f>
        <v>0</v>
      </c>
      <c r="Q29" s="9"/>
      <c r="R29" s="9"/>
      <c r="S29" s="9"/>
      <c r="T29" s="9"/>
      <c r="U29" s="10" cm="1">
        <f t="array" ref="U29">R29-S29-T29</f>
        <v>0</v>
      </c>
      <c r="V29" s="26"/>
      <c r="W29" s="26"/>
    </row>
    <row r="30" spans="1:23" ht="15" customHeight="1" thickBot="1">
      <c r="A30" s="5">
        <v>46230</v>
      </c>
      <c r="B30" s="6"/>
      <c r="C30" s="6"/>
      <c r="D30" s="6"/>
      <c r="E30" s="6"/>
      <c r="F30" s="7" cm="1">
        <f t="array" ref="F30">C30-D30-E30</f>
        <v>0</v>
      </c>
      <c r="G30" s="8"/>
      <c r="H30" s="8"/>
      <c r="I30" s="8"/>
      <c r="J30" s="8"/>
      <c r="K30" s="7" cm="1">
        <f t="array" ref="K30">H30-I30-J30</f>
        <v>0</v>
      </c>
      <c r="L30" s="9"/>
      <c r="M30" s="9"/>
      <c r="N30" s="9"/>
      <c r="O30" s="9"/>
      <c r="P30" s="7" cm="1">
        <f t="array" ref="P30">M30-N30-O30</f>
        <v>0</v>
      </c>
      <c r="Q30" s="9"/>
      <c r="R30" s="9"/>
      <c r="S30" s="9"/>
      <c r="T30" s="9"/>
      <c r="U30" s="10" cm="1">
        <f t="array" ref="U30">R30-S30-T30</f>
        <v>0</v>
      </c>
      <c r="V30" s="26"/>
      <c r="W30" s="26"/>
    </row>
    <row r="31" spans="1:23" ht="15" customHeight="1" thickBot="1">
      <c r="A31" s="5">
        <v>46231</v>
      </c>
      <c r="B31" s="6"/>
      <c r="C31" s="6"/>
      <c r="D31" s="6"/>
      <c r="E31" s="6"/>
      <c r="F31" s="7" cm="1">
        <f t="array" ref="F31">C31-D31-E31</f>
        <v>0</v>
      </c>
      <c r="G31" s="8"/>
      <c r="H31" s="8"/>
      <c r="I31" s="8"/>
      <c r="J31" s="8"/>
      <c r="K31" s="7" cm="1">
        <f t="array" ref="K31">H31-I31-J31</f>
        <v>0</v>
      </c>
      <c r="L31" s="9"/>
      <c r="M31" s="9"/>
      <c r="N31" s="9"/>
      <c r="O31" s="9"/>
      <c r="P31" s="7" cm="1">
        <f t="array" ref="P31">M31-N31-O31</f>
        <v>0</v>
      </c>
      <c r="Q31" s="9"/>
      <c r="R31" s="9"/>
      <c r="S31" s="9"/>
      <c r="T31" s="9"/>
      <c r="U31" s="10" cm="1">
        <f t="array" ref="U31">R31-S31-T31</f>
        <v>0</v>
      </c>
      <c r="V31" s="26"/>
      <c r="W31" s="26"/>
    </row>
    <row r="32" spans="1:23" ht="15" customHeight="1" thickBot="1">
      <c r="A32" s="5">
        <v>46232</v>
      </c>
      <c r="B32" s="6"/>
      <c r="C32" s="6"/>
      <c r="D32" s="6"/>
      <c r="E32" s="6"/>
      <c r="F32" s="7" cm="1">
        <f t="array" ref="F32">C32-D32-E32</f>
        <v>0</v>
      </c>
      <c r="G32" s="8"/>
      <c r="H32" s="8"/>
      <c r="I32" s="8"/>
      <c r="J32" s="8"/>
      <c r="K32" s="7" cm="1">
        <f t="array" ref="K32">H32-I32-J32</f>
        <v>0</v>
      </c>
      <c r="L32" s="9"/>
      <c r="M32" s="9"/>
      <c r="N32" s="9"/>
      <c r="O32" s="9"/>
      <c r="P32" s="7" cm="1">
        <f t="array" ref="P32">M32-N32-O32</f>
        <v>0</v>
      </c>
      <c r="Q32" s="9"/>
      <c r="R32" s="9"/>
      <c r="S32" s="9"/>
      <c r="T32" s="9"/>
      <c r="U32" s="10" cm="1">
        <f t="array" ref="U32">R32-S32-T32</f>
        <v>0</v>
      </c>
      <c r="V32" s="26"/>
      <c r="W32" s="26"/>
    </row>
    <row r="33" spans="1:23" ht="15" customHeight="1" thickBot="1">
      <c r="A33" s="5">
        <v>46233</v>
      </c>
      <c r="B33" s="6"/>
      <c r="C33" s="6"/>
      <c r="D33" s="6"/>
      <c r="E33" s="6"/>
      <c r="F33" s="7">
        <v>0</v>
      </c>
      <c r="G33" s="8"/>
      <c r="H33" s="8"/>
      <c r="I33" s="8"/>
      <c r="J33" s="8"/>
      <c r="K33" s="7" cm="1">
        <f t="array" ref="K33">H33-I33-J33</f>
        <v>0</v>
      </c>
      <c r="L33" s="9"/>
      <c r="M33" s="9"/>
      <c r="N33" s="9"/>
      <c r="O33" s="9"/>
      <c r="P33" s="7" cm="1">
        <f t="array" ref="P33">M33-N33-O33</f>
        <v>0</v>
      </c>
      <c r="Q33" s="9"/>
      <c r="R33" s="9"/>
      <c r="S33" s="9"/>
      <c r="T33" s="9"/>
      <c r="U33" s="10" cm="1">
        <f t="array" ref="U33">R33-S33-T33</f>
        <v>0</v>
      </c>
      <c r="V33" s="26"/>
      <c r="W33" s="26"/>
    </row>
    <row r="34" spans="1:23" ht="15" customHeight="1" thickBot="1">
      <c r="A34" s="12" t="s">
        <v>12</v>
      </c>
      <c r="B34" s="13" cm="1">
        <f t="array" ref="B34">SUM(B4:B33)+'Август 2026'!B34</f>
        <v>1134100</v>
      </c>
      <c r="C34" s="13" cm="1">
        <f t="array" ref="C34">SUM(C4:C33)</f>
        <v>0</v>
      </c>
      <c r="D34" s="13" cm="1">
        <f t="array" ref="D34">SUM(D4:D33)</f>
        <v>0</v>
      </c>
      <c r="E34" s="13" cm="1">
        <f t="array" ref="E34">SUM(E4:E33)</f>
        <v>0</v>
      </c>
      <c r="F34" s="14" cm="1">
        <f t="array" ref="F34">C34-D34-E34</f>
        <v>0</v>
      </c>
      <c r="G34" s="15" cm="1">
        <f t="array" ref="G34">SUM(G4:G33)+'Август 2026'!G34</f>
        <v>1517550</v>
      </c>
      <c r="H34" s="15" cm="1">
        <f t="array" ref="H34">SUM(H4:H33)</f>
        <v>0</v>
      </c>
      <c r="I34" s="15" cm="1">
        <f t="array" ref="I34">SUM(I4:I33)</f>
        <v>0</v>
      </c>
      <c r="J34" s="15" cm="1">
        <f t="array" ref="J34">SUM(J4:J33)</f>
        <v>0</v>
      </c>
      <c r="K34" s="14" cm="1">
        <f t="array" ref="K34">H34-I34-J34</f>
        <v>0</v>
      </c>
      <c r="L34" s="16" cm="1">
        <f t="array" ref="L34">SUM(L4:L33)+'Август 2026'!L34</f>
        <v>982800</v>
      </c>
      <c r="M34" s="16" cm="1">
        <f t="array" ref="M34">SUM(M4:M33)</f>
        <v>0</v>
      </c>
      <c r="N34" s="16" cm="1">
        <f t="array" ref="N34">SUM(N4:N33)</f>
        <v>0</v>
      </c>
      <c r="O34" s="16" cm="1">
        <f t="array" ref="O34">SUM(O4:O33)</f>
        <v>0</v>
      </c>
      <c r="P34" s="14" cm="1">
        <f t="array" ref="P34">M34-N34-O34</f>
        <v>0</v>
      </c>
      <c r="Q34" s="16"/>
      <c r="R34" s="16">
        <f>SUM(R4:R33)</f>
        <v>0</v>
      </c>
      <c r="S34" s="16" cm="1">
        <f t="array" ref="S34">SUM(S4:S33)</f>
        <v>0</v>
      </c>
      <c r="T34" s="16" cm="1">
        <f t="array" ref="T34">SUM(T4:T33)</f>
        <v>0</v>
      </c>
      <c r="U34" s="17" cm="1">
        <f t="array" ref="U34">R34-S34-T34</f>
        <v>0</v>
      </c>
      <c r="V34" s="26" cm="1">
        <f t="array" ref="V34">SUM(F34,K34,P34)</f>
        <v>0</v>
      </c>
      <c r="W34" s="26" cm="1">
        <f t="array" ref="W34">V34+'Август 2026'!W34</f>
        <v>31500</v>
      </c>
    </row>
  </sheetData>
  <mergeCells count="23">
    <mergeCell ref="A1:A3"/>
    <mergeCell ref="B1:F1"/>
    <mergeCell ref="G1:K1"/>
    <mergeCell ref="L1:P1"/>
    <mergeCell ref="V1:V3"/>
    <mergeCell ref="N2:O2"/>
    <mergeCell ref="P2:P3"/>
    <mergeCell ref="G2:G3"/>
    <mergeCell ref="H2:H3"/>
    <mergeCell ref="I2:J2"/>
    <mergeCell ref="K2:K3"/>
    <mergeCell ref="L2:L3"/>
    <mergeCell ref="M2:M3"/>
    <mergeCell ref="Q1:U1"/>
    <mergeCell ref="Q2:Q3"/>
    <mergeCell ref="R2:R3"/>
    <mergeCell ref="W1:W3"/>
    <mergeCell ref="B2:B3"/>
    <mergeCell ref="C2:C3"/>
    <mergeCell ref="D2:E2"/>
    <mergeCell ref="F2:F3"/>
    <mergeCell ref="S2:T2"/>
    <mergeCell ref="U2:U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35"/>
  <sheetViews>
    <sheetView showGridLines="0" topLeftCell="L1" workbookViewId="0">
      <selection activeCell="AA17" sqref="Z17:AA17"/>
    </sheetView>
  </sheetViews>
  <sheetFormatPr defaultColWidth="8.88671875" defaultRowHeight="14.4" customHeight="1"/>
  <cols>
    <col min="1" max="1" width="32" style="30" customWidth="1"/>
    <col min="2" max="2" width="16.6640625" style="30" customWidth="1"/>
    <col min="3" max="3" width="20.88671875" style="30" customWidth="1"/>
    <col min="4" max="4" width="16.6640625" style="30" customWidth="1"/>
    <col min="5" max="5" width="19" style="30" customWidth="1"/>
    <col min="6" max="6" width="16.21875" style="30" customWidth="1"/>
    <col min="7" max="7" width="16.33203125" style="30" customWidth="1"/>
    <col min="8" max="8" width="18.21875" style="30" customWidth="1"/>
    <col min="9" max="9" width="16.88671875" style="30" customWidth="1"/>
    <col min="10" max="10" width="14.6640625" style="30" customWidth="1"/>
    <col min="11" max="11" width="15" style="30" customWidth="1"/>
    <col min="12" max="12" width="14.44140625" style="30" customWidth="1"/>
    <col min="13" max="13" width="15.21875" style="30" customWidth="1"/>
    <col min="14" max="14" width="14.44140625" style="30" customWidth="1"/>
    <col min="15" max="15" width="12.44140625" style="30" customWidth="1"/>
    <col min="16" max="16" width="12.88671875" style="30" customWidth="1"/>
    <col min="17" max="17" width="16.44140625" style="30" customWidth="1"/>
    <col min="18" max="18" width="15.88671875" style="30" customWidth="1"/>
    <col min="19" max="19" width="8.88671875" style="30" customWidth="1"/>
    <col min="20" max="20" width="8.88671875" style="30"/>
    <col min="21" max="21" width="17.44140625" style="30" customWidth="1"/>
    <col min="22" max="22" width="16.5546875" style="30" customWidth="1"/>
    <col min="23" max="23" width="17.77734375" style="30" customWidth="1"/>
    <col min="24" max="16384" width="8.88671875" style="30"/>
  </cols>
  <sheetData>
    <row r="1" spans="1:23" ht="15" customHeight="1" thickBot="1">
      <c r="A1" s="47" t="s">
        <v>0</v>
      </c>
      <c r="B1" s="51" t="s">
        <v>1</v>
      </c>
      <c r="C1" s="52"/>
      <c r="D1" s="52"/>
      <c r="E1" s="52"/>
      <c r="F1" s="53"/>
      <c r="G1" s="60" t="s">
        <v>2</v>
      </c>
      <c r="H1" s="66"/>
      <c r="I1" s="66"/>
      <c r="J1" s="66"/>
      <c r="K1" s="61"/>
      <c r="L1" s="39" t="s">
        <v>3</v>
      </c>
      <c r="M1" s="65"/>
      <c r="N1" s="65"/>
      <c r="O1" s="65"/>
      <c r="P1" s="40"/>
      <c r="Q1" s="39" t="s">
        <v>14</v>
      </c>
      <c r="R1" s="65"/>
      <c r="S1" s="65"/>
      <c r="T1" s="65"/>
      <c r="U1" s="40"/>
      <c r="V1" s="44" t="s">
        <v>4</v>
      </c>
      <c r="W1" s="41" t="s">
        <v>5</v>
      </c>
    </row>
    <row r="2" spans="1:23" ht="15" customHeight="1" thickBot="1">
      <c r="A2" s="48"/>
      <c r="B2" s="49" t="s">
        <v>6</v>
      </c>
      <c r="C2" s="54" t="s">
        <v>7</v>
      </c>
      <c r="D2" s="51" t="s">
        <v>8</v>
      </c>
      <c r="E2" s="53"/>
      <c r="F2" s="33" t="s">
        <v>9</v>
      </c>
      <c r="G2" s="56" t="s">
        <v>6</v>
      </c>
      <c r="H2" s="58" t="s">
        <v>7</v>
      </c>
      <c r="I2" s="60" t="s">
        <v>8</v>
      </c>
      <c r="J2" s="61"/>
      <c r="K2" s="33" t="s">
        <v>9</v>
      </c>
      <c r="L2" s="35" t="s">
        <v>6</v>
      </c>
      <c r="M2" s="37" t="s">
        <v>7</v>
      </c>
      <c r="N2" s="39" t="s">
        <v>8</v>
      </c>
      <c r="O2" s="40"/>
      <c r="P2" s="33" t="s">
        <v>9</v>
      </c>
      <c r="Q2" s="35" t="s">
        <v>6</v>
      </c>
      <c r="R2" s="37" t="s">
        <v>7</v>
      </c>
      <c r="S2" s="39" t="s">
        <v>8</v>
      </c>
      <c r="T2" s="40"/>
      <c r="U2" s="33" t="s">
        <v>9</v>
      </c>
      <c r="V2" s="45"/>
      <c r="W2" s="42"/>
    </row>
    <row r="3" spans="1:23" ht="38.4" customHeight="1" thickBot="1">
      <c r="A3" s="48"/>
      <c r="B3" s="50"/>
      <c r="C3" s="55"/>
      <c r="D3" s="2" t="s">
        <v>10</v>
      </c>
      <c r="E3" s="2" t="s">
        <v>11</v>
      </c>
      <c r="F3" s="34"/>
      <c r="G3" s="57"/>
      <c r="H3" s="59"/>
      <c r="I3" s="3" t="s">
        <v>10</v>
      </c>
      <c r="J3" s="3" t="s">
        <v>11</v>
      </c>
      <c r="K3" s="34"/>
      <c r="L3" s="36"/>
      <c r="M3" s="38"/>
      <c r="N3" s="4" t="s">
        <v>10</v>
      </c>
      <c r="O3" s="4" t="s">
        <v>11</v>
      </c>
      <c r="P3" s="34"/>
      <c r="Q3" s="36"/>
      <c r="R3" s="38"/>
      <c r="S3" s="4" t="s">
        <v>10</v>
      </c>
      <c r="T3" s="4" t="s">
        <v>11</v>
      </c>
      <c r="U3" s="34"/>
      <c r="V3" s="46"/>
      <c r="W3" s="43"/>
    </row>
    <row r="4" spans="1:23" ht="15" customHeight="1" thickBot="1">
      <c r="A4" s="5">
        <v>46296</v>
      </c>
      <c r="B4" s="6"/>
      <c r="C4" s="6"/>
      <c r="D4" s="6"/>
      <c r="E4" s="6"/>
      <c r="F4" s="7" cm="1">
        <f t="array" ref="F4">C4-D4-E4</f>
        <v>0</v>
      </c>
      <c r="G4" s="8"/>
      <c r="H4" s="8"/>
      <c r="I4" s="8"/>
      <c r="J4" s="8"/>
      <c r="K4" s="7" cm="1">
        <f t="array" ref="K4">H4-I4-J4</f>
        <v>0</v>
      </c>
      <c r="L4" s="9"/>
      <c r="M4" s="9"/>
      <c r="N4" s="9"/>
      <c r="O4" s="9"/>
      <c r="P4" s="10" cm="1">
        <f t="array" ref="P4">M4-N4-O4</f>
        <v>0</v>
      </c>
      <c r="Q4" s="9"/>
      <c r="R4" s="9"/>
      <c r="S4" s="9"/>
      <c r="T4" s="9"/>
      <c r="U4" s="10" cm="1">
        <f t="array" ref="U4">R4-S4-T4</f>
        <v>0</v>
      </c>
      <c r="V4" s="11"/>
      <c r="W4" s="11"/>
    </row>
    <row r="5" spans="1:23" ht="15" customHeight="1" thickBot="1">
      <c r="A5" s="5">
        <v>46297</v>
      </c>
      <c r="B5" s="6"/>
      <c r="C5" s="6"/>
      <c r="D5" s="6"/>
      <c r="E5" s="6"/>
      <c r="F5" s="7" cm="1">
        <f t="array" ref="F5">C5-D5-E5</f>
        <v>0</v>
      </c>
      <c r="G5" s="8"/>
      <c r="H5" s="8"/>
      <c r="I5" s="8"/>
      <c r="J5" s="8"/>
      <c r="K5" s="7" cm="1">
        <f t="array" ref="K5">H5-I5-J5</f>
        <v>0</v>
      </c>
      <c r="L5" s="9"/>
      <c r="M5" s="9"/>
      <c r="N5" s="9"/>
      <c r="O5" s="9"/>
      <c r="P5" s="10" cm="1">
        <f t="array" ref="P5">M5-N5-O5</f>
        <v>0</v>
      </c>
      <c r="Q5" s="9"/>
      <c r="R5" s="9"/>
      <c r="S5" s="9"/>
      <c r="T5" s="9"/>
      <c r="U5" s="10" cm="1">
        <f t="array" ref="U5">R5-S5-T5</f>
        <v>0</v>
      </c>
      <c r="V5" s="11"/>
      <c r="W5" s="11"/>
    </row>
    <row r="6" spans="1:23" ht="15" customHeight="1" thickBot="1">
      <c r="A6" s="5">
        <v>46298</v>
      </c>
      <c r="B6" s="6"/>
      <c r="C6" s="6"/>
      <c r="D6" s="6"/>
      <c r="E6" s="6"/>
      <c r="F6" s="7" cm="1">
        <f t="array" ref="F6">C6-D6-E6</f>
        <v>0</v>
      </c>
      <c r="G6" s="8"/>
      <c r="H6" s="8"/>
      <c r="I6" s="8"/>
      <c r="J6" s="8"/>
      <c r="K6" s="7" cm="1">
        <f t="array" ref="K6">H6-I6-J6</f>
        <v>0</v>
      </c>
      <c r="L6" s="9"/>
      <c r="M6" s="9"/>
      <c r="N6" s="9"/>
      <c r="O6" s="9"/>
      <c r="P6" s="10" cm="1">
        <f t="array" ref="P6">M6-N6-O6</f>
        <v>0</v>
      </c>
      <c r="Q6" s="9"/>
      <c r="R6" s="9"/>
      <c r="S6" s="9"/>
      <c r="T6" s="9"/>
      <c r="U6" s="10" cm="1">
        <f t="array" ref="U6">R6-S6-T6</f>
        <v>0</v>
      </c>
      <c r="V6" s="11"/>
      <c r="W6" s="11"/>
    </row>
    <row r="7" spans="1:23" ht="15" customHeight="1" thickBot="1">
      <c r="A7" s="5">
        <v>46299</v>
      </c>
      <c r="B7" s="6"/>
      <c r="C7" s="6"/>
      <c r="D7" s="6"/>
      <c r="E7" s="6"/>
      <c r="F7" s="7" cm="1">
        <f t="array" ref="F7">C7-D7-E7</f>
        <v>0</v>
      </c>
      <c r="G7" s="8"/>
      <c r="H7" s="8"/>
      <c r="I7" s="8"/>
      <c r="J7" s="8"/>
      <c r="K7" s="7" cm="1">
        <f t="array" ref="K7">H7-I7-J7</f>
        <v>0</v>
      </c>
      <c r="L7" s="9"/>
      <c r="M7" s="9"/>
      <c r="N7" s="9"/>
      <c r="O7" s="9"/>
      <c r="P7" s="10" cm="1">
        <f t="array" ref="P7">M7-N7-O7</f>
        <v>0</v>
      </c>
      <c r="Q7" s="9"/>
      <c r="R7" s="9"/>
      <c r="S7" s="9"/>
      <c r="T7" s="9"/>
      <c r="U7" s="10" cm="1">
        <f t="array" ref="U7">R7-S7-T7</f>
        <v>0</v>
      </c>
      <c r="V7" s="11"/>
      <c r="W7" s="11"/>
    </row>
    <row r="8" spans="1:23" ht="15" customHeight="1" thickBot="1">
      <c r="A8" s="5">
        <v>46300</v>
      </c>
      <c r="B8" s="6"/>
      <c r="C8" s="6"/>
      <c r="D8" s="6"/>
      <c r="E8" s="6"/>
      <c r="F8" s="7" cm="1">
        <f t="array" ref="F8">C8-D8-E8</f>
        <v>0</v>
      </c>
      <c r="G8" s="8"/>
      <c r="H8" s="8"/>
      <c r="I8" s="8"/>
      <c r="J8" s="8"/>
      <c r="K8" s="7" cm="1">
        <f t="array" ref="K8">H8-I8-J8</f>
        <v>0</v>
      </c>
      <c r="L8" s="9"/>
      <c r="M8" s="9"/>
      <c r="N8" s="9"/>
      <c r="O8" s="9"/>
      <c r="P8" s="10" cm="1">
        <f t="array" ref="P8">M8-N8-O8</f>
        <v>0</v>
      </c>
      <c r="Q8" s="9"/>
      <c r="R8" s="9"/>
      <c r="S8" s="9"/>
      <c r="T8" s="9"/>
      <c r="U8" s="10" cm="1">
        <f t="array" ref="U8">R8-S8-T8</f>
        <v>0</v>
      </c>
      <c r="V8" s="11"/>
      <c r="W8" s="11"/>
    </row>
    <row r="9" spans="1:23" ht="15" customHeight="1" thickBot="1">
      <c r="A9" s="5">
        <v>46301</v>
      </c>
      <c r="B9" s="6"/>
      <c r="C9" s="6"/>
      <c r="D9" s="6"/>
      <c r="E9" s="6"/>
      <c r="F9" s="7" cm="1">
        <f t="array" ref="F9">C9-D9-E9</f>
        <v>0</v>
      </c>
      <c r="G9" s="8"/>
      <c r="H9" s="8"/>
      <c r="I9" s="8"/>
      <c r="J9" s="8"/>
      <c r="K9" s="7" cm="1">
        <f t="array" ref="K9">H9-I9-J9</f>
        <v>0</v>
      </c>
      <c r="L9" s="9"/>
      <c r="M9" s="9"/>
      <c r="N9" s="9"/>
      <c r="O9" s="9"/>
      <c r="P9" s="10" cm="1">
        <f t="array" ref="P9">M9-N9-O9</f>
        <v>0</v>
      </c>
      <c r="Q9" s="9"/>
      <c r="R9" s="9"/>
      <c r="S9" s="9"/>
      <c r="T9" s="9"/>
      <c r="U9" s="10" cm="1">
        <f t="array" ref="U9">R9-S9-T9</f>
        <v>0</v>
      </c>
      <c r="V9" s="11"/>
      <c r="W9" s="11"/>
    </row>
    <row r="10" spans="1:23" ht="15" customHeight="1" thickBot="1">
      <c r="A10" s="5">
        <v>46302</v>
      </c>
      <c r="B10" s="6"/>
      <c r="C10" s="6"/>
      <c r="D10" s="6"/>
      <c r="E10" s="6"/>
      <c r="F10" s="7" cm="1">
        <f t="array" ref="F10">C10-D10-E10</f>
        <v>0</v>
      </c>
      <c r="G10" s="8"/>
      <c r="H10" s="8"/>
      <c r="I10" s="8"/>
      <c r="J10" s="8"/>
      <c r="K10" s="7" cm="1">
        <f t="array" ref="K10">H10-I10-J10</f>
        <v>0</v>
      </c>
      <c r="L10" s="9"/>
      <c r="M10" s="9"/>
      <c r="N10" s="9"/>
      <c r="O10" s="9"/>
      <c r="P10" s="10" cm="1">
        <f t="array" ref="P10">M10-N10-O10</f>
        <v>0</v>
      </c>
      <c r="Q10" s="9"/>
      <c r="R10" s="9"/>
      <c r="S10" s="9"/>
      <c r="T10" s="9"/>
      <c r="U10" s="10" cm="1">
        <f t="array" ref="U10">R10-S10-T10</f>
        <v>0</v>
      </c>
      <c r="V10" s="11"/>
      <c r="W10" s="11"/>
    </row>
    <row r="11" spans="1:23" ht="15" customHeight="1" thickBot="1">
      <c r="A11" s="5">
        <v>46303</v>
      </c>
      <c r="B11" s="6"/>
      <c r="C11" s="6"/>
      <c r="D11" s="6"/>
      <c r="E11" s="6"/>
      <c r="F11" s="7" cm="1">
        <f t="array" ref="F11">C11-D11-E11</f>
        <v>0</v>
      </c>
      <c r="G11" s="8"/>
      <c r="H11" s="8"/>
      <c r="I11" s="8"/>
      <c r="J11" s="8"/>
      <c r="K11" s="7" cm="1">
        <f t="array" ref="K11">H11-I11-J11</f>
        <v>0</v>
      </c>
      <c r="L11" s="9"/>
      <c r="M11" s="9"/>
      <c r="N11" s="9"/>
      <c r="O11" s="9"/>
      <c r="P11" s="10" cm="1">
        <f t="array" ref="P11">M11-N11-O11</f>
        <v>0</v>
      </c>
      <c r="Q11" s="9"/>
      <c r="R11" s="9"/>
      <c r="S11" s="9"/>
      <c r="T11" s="9"/>
      <c r="U11" s="10" cm="1">
        <f t="array" ref="U11">R11-S11-T11</f>
        <v>0</v>
      </c>
      <c r="V11" s="11"/>
      <c r="W11" s="11"/>
    </row>
    <row r="12" spans="1:23" ht="15" customHeight="1" thickBot="1">
      <c r="A12" s="5">
        <v>46304</v>
      </c>
      <c r="B12" s="6"/>
      <c r="C12" s="6"/>
      <c r="D12" s="6"/>
      <c r="E12" s="6"/>
      <c r="F12" s="7" cm="1">
        <f t="array" ref="F12">C12-D12-E12</f>
        <v>0</v>
      </c>
      <c r="G12" s="8"/>
      <c r="H12" s="8"/>
      <c r="I12" s="8"/>
      <c r="J12" s="8"/>
      <c r="K12" s="7" cm="1">
        <f t="array" ref="K12">H12-I12-J12</f>
        <v>0</v>
      </c>
      <c r="L12" s="9"/>
      <c r="M12" s="9"/>
      <c r="N12" s="9"/>
      <c r="O12" s="9"/>
      <c r="P12" s="10" cm="1">
        <f t="array" ref="P12">M12-N12-O12</f>
        <v>0</v>
      </c>
      <c r="Q12" s="9"/>
      <c r="R12" s="9"/>
      <c r="S12" s="9"/>
      <c r="T12" s="9"/>
      <c r="U12" s="10" cm="1">
        <f t="array" ref="U12">R12-S12-T12</f>
        <v>0</v>
      </c>
      <c r="V12" s="11"/>
      <c r="W12" s="11"/>
    </row>
    <row r="13" spans="1:23" ht="15" customHeight="1" thickBot="1">
      <c r="A13" s="5">
        <v>46305</v>
      </c>
      <c r="B13" s="6"/>
      <c r="C13" s="6"/>
      <c r="D13" s="6"/>
      <c r="E13" s="6"/>
      <c r="F13" s="7" cm="1">
        <f t="array" ref="F13">C13-D13-E13</f>
        <v>0</v>
      </c>
      <c r="G13" s="8"/>
      <c r="H13" s="8"/>
      <c r="I13" s="8"/>
      <c r="J13" s="8"/>
      <c r="K13" s="7" cm="1">
        <f t="array" ref="K13">H13-I13-J13</f>
        <v>0</v>
      </c>
      <c r="L13" s="9"/>
      <c r="M13" s="9"/>
      <c r="N13" s="9"/>
      <c r="O13" s="9"/>
      <c r="P13" s="10" cm="1">
        <f t="array" ref="P13">M13-N13-O13</f>
        <v>0</v>
      </c>
      <c r="Q13" s="9"/>
      <c r="R13" s="9"/>
      <c r="S13" s="9"/>
      <c r="T13" s="9"/>
      <c r="U13" s="10" cm="1">
        <f t="array" ref="U13">R13-S13-T13</f>
        <v>0</v>
      </c>
      <c r="V13" s="11"/>
      <c r="W13" s="11"/>
    </row>
    <row r="14" spans="1:23" ht="15" customHeight="1" thickBot="1">
      <c r="A14" s="5">
        <v>46306</v>
      </c>
      <c r="B14" s="6"/>
      <c r="C14" s="6"/>
      <c r="D14" s="6"/>
      <c r="E14" s="6"/>
      <c r="F14" s="7" cm="1">
        <f t="array" ref="F14">C14-D14-E14</f>
        <v>0</v>
      </c>
      <c r="G14" s="8"/>
      <c r="H14" s="8"/>
      <c r="I14" s="8"/>
      <c r="J14" s="8"/>
      <c r="K14" s="7" cm="1">
        <f t="array" ref="K14">H14-I14-J14</f>
        <v>0</v>
      </c>
      <c r="L14" s="9"/>
      <c r="M14" s="9"/>
      <c r="N14" s="9"/>
      <c r="O14" s="9"/>
      <c r="P14" s="10" cm="1">
        <f t="array" ref="P14">M14-N14-O14</f>
        <v>0</v>
      </c>
      <c r="Q14" s="9"/>
      <c r="R14" s="9"/>
      <c r="S14" s="9"/>
      <c r="T14" s="9"/>
      <c r="U14" s="10" cm="1">
        <f t="array" ref="U14">R14-S14-T14</f>
        <v>0</v>
      </c>
      <c r="V14" s="11"/>
      <c r="W14" s="11"/>
    </row>
    <row r="15" spans="1:23" ht="15" customHeight="1" thickBot="1">
      <c r="A15" s="5">
        <v>46307</v>
      </c>
      <c r="B15" s="6"/>
      <c r="C15" s="6"/>
      <c r="D15" s="6"/>
      <c r="E15" s="6"/>
      <c r="F15" s="7" cm="1">
        <f t="array" ref="F15">C15-D15-E15</f>
        <v>0</v>
      </c>
      <c r="G15" s="8"/>
      <c r="H15" s="8"/>
      <c r="I15" s="8"/>
      <c r="J15" s="8"/>
      <c r="K15" s="7" cm="1">
        <f t="array" ref="K15">H15-I15-J15</f>
        <v>0</v>
      </c>
      <c r="L15" s="9"/>
      <c r="M15" s="9"/>
      <c r="N15" s="9"/>
      <c r="O15" s="9"/>
      <c r="P15" s="10" cm="1">
        <f t="array" ref="P15">M15-N15-O15</f>
        <v>0</v>
      </c>
      <c r="Q15" s="9"/>
      <c r="R15" s="9"/>
      <c r="S15" s="9"/>
      <c r="T15" s="9"/>
      <c r="U15" s="10" cm="1">
        <f t="array" ref="U15">R15-S15-T15</f>
        <v>0</v>
      </c>
      <c r="V15" s="11"/>
      <c r="W15" s="11"/>
    </row>
    <row r="16" spans="1:23" ht="15" customHeight="1" thickBot="1">
      <c r="A16" s="5">
        <v>46308</v>
      </c>
      <c r="B16" s="6"/>
      <c r="C16" s="6"/>
      <c r="D16" s="6"/>
      <c r="E16" s="6"/>
      <c r="F16" s="7" cm="1">
        <f t="array" ref="F16">C16-D16-E16</f>
        <v>0</v>
      </c>
      <c r="G16" s="8"/>
      <c r="H16" s="8"/>
      <c r="I16" s="8"/>
      <c r="J16" s="8"/>
      <c r="K16" s="7" cm="1">
        <f t="array" ref="K16">H16-I16-J16</f>
        <v>0</v>
      </c>
      <c r="L16" s="9"/>
      <c r="M16" s="9"/>
      <c r="N16" s="9"/>
      <c r="O16" s="9"/>
      <c r="P16" s="10" cm="1">
        <f t="array" ref="P16">M16-N16-O16</f>
        <v>0</v>
      </c>
      <c r="Q16" s="9"/>
      <c r="R16" s="9"/>
      <c r="S16" s="9"/>
      <c r="T16" s="9"/>
      <c r="U16" s="10" cm="1">
        <f t="array" ref="U16">R16-S16-T16</f>
        <v>0</v>
      </c>
      <c r="V16" s="11"/>
      <c r="W16" s="11"/>
    </row>
    <row r="17" spans="1:23" ht="15" customHeight="1" thickBot="1">
      <c r="A17" s="5">
        <v>46309</v>
      </c>
      <c r="B17" s="6"/>
      <c r="C17" s="6"/>
      <c r="D17" s="6"/>
      <c r="E17" s="6"/>
      <c r="F17" s="7" cm="1">
        <f t="array" ref="F17">C17-D17-E17</f>
        <v>0</v>
      </c>
      <c r="G17" s="8"/>
      <c r="H17" s="8"/>
      <c r="I17" s="8"/>
      <c r="J17" s="8"/>
      <c r="K17" s="7" cm="1">
        <f t="array" ref="K17">H17-I17-J17</f>
        <v>0</v>
      </c>
      <c r="L17" s="9"/>
      <c r="M17" s="9"/>
      <c r="N17" s="9"/>
      <c r="O17" s="9"/>
      <c r="P17" s="10" cm="1">
        <f t="array" ref="P17">M17-N17-O17</f>
        <v>0</v>
      </c>
      <c r="Q17" s="9"/>
      <c r="R17" s="9"/>
      <c r="S17" s="9"/>
      <c r="T17" s="9"/>
      <c r="U17" s="10" cm="1">
        <f t="array" ref="U17">R17-S17-T17</f>
        <v>0</v>
      </c>
      <c r="V17" s="11"/>
      <c r="W17" s="11"/>
    </row>
    <row r="18" spans="1:23" ht="15" customHeight="1" thickBot="1">
      <c r="A18" s="5">
        <v>46310</v>
      </c>
      <c r="B18" s="6"/>
      <c r="C18" s="6"/>
      <c r="D18" s="6"/>
      <c r="E18" s="6"/>
      <c r="F18" s="7" cm="1">
        <f t="array" ref="F18">C18-D18-E18</f>
        <v>0</v>
      </c>
      <c r="G18" s="8"/>
      <c r="H18" s="8"/>
      <c r="I18" s="8"/>
      <c r="J18" s="8"/>
      <c r="K18" s="7" cm="1">
        <f t="array" ref="K18">H18-I18-J18</f>
        <v>0</v>
      </c>
      <c r="L18" s="9"/>
      <c r="M18" s="9"/>
      <c r="N18" s="9"/>
      <c r="O18" s="9"/>
      <c r="P18" s="10" cm="1">
        <f t="array" ref="P18">M18-N18-O18</f>
        <v>0</v>
      </c>
      <c r="Q18" s="9"/>
      <c r="R18" s="9"/>
      <c r="S18" s="9"/>
      <c r="T18" s="9"/>
      <c r="U18" s="10" cm="1">
        <f t="array" ref="U18">R18-S18-T18</f>
        <v>0</v>
      </c>
      <c r="V18" s="11"/>
      <c r="W18" s="11"/>
    </row>
    <row r="19" spans="1:23" ht="15" customHeight="1" thickBot="1">
      <c r="A19" s="5">
        <v>46311</v>
      </c>
      <c r="B19" s="6"/>
      <c r="C19" s="6"/>
      <c r="D19" s="6"/>
      <c r="E19" s="6"/>
      <c r="F19" s="7" cm="1">
        <f t="array" ref="F19">C19-D19-E19</f>
        <v>0</v>
      </c>
      <c r="G19" s="8"/>
      <c r="H19" s="8"/>
      <c r="I19" s="8"/>
      <c r="J19" s="8"/>
      <c r="K19" s="7" cm="1">
        <f t="array" ref="K19">H19-I19-J19</f>
        <v>0</v>
      </c>
      <c r="L19" s="9"/>
      <c r="M19" s="9"/>
      <c r="N19" s="9"/>
      <c r="O19" s="9"/>
      <c r="P19" s="10" cm="1">
        <f t="array" ref="P19">M19-N19-O19</f>
        <v>0</v>
      </c>
      <c r="Q19" s="9"/>
      <c r="R19" s="9"/>
      <c r="S19" s="9"/>
      <c r="T19" s="9"/>
      <c r="U19" s="10" cm="1">
        <f t="array" ref="U19">R19-S19-T19</f>
        <v>0</v>
      </c>
      <c r="V19" s="11"/>
      <c r="W19" s="11"/>
    </row>
    <row r="20" spans="1:23" ht="15" customHeight="1" thickBot="1">
      <c r="A20" s="5">
        <v>46312</v>
      </c>
      <c r="B20" s="6"/>
      <c r="C20" s="6"/>
      <c r="D20" s="6"/>
      <c r="E20" s="6"/>
      <c r="F20" s="7" cm="1">
        <f t="array" ref="F20">C20-D20-E20</f>
        <v>0</v>
      </c>
      <c r="G20" s="8"/>
      <c r="H20" s="8"/>
      <c r="I20" s="8"/>
      <c r="J20" s="8"/>
      <c r="K20" s="7" cm="1">
        <f t="array" ref="K20">H20-I20-J20</f>
        <v>0</v>
      </c>
      <c r="L20" s="9"/>
      <c r="M20" s="9"/>
      <c r="N20" s="9"/>
      <c r="O20" s="9"/>
      <c r="P20" s="10" cm="1">
        <f t="array" ref="P20">M20-N20-O20</f>
        <v>0</v>
      </c>
      <c r="Q20" s="9"/>
      <c r="R20" s="9"/>
      <c r="S20" s="9"/>
      <c r="T20" s="9"/>
      <c r="U20" s="10" cm="1">
        <f t="array" ref="U20">R20-S20-T20</f>
        <v>0</v>
      </c>
      <c r="V20" s="11"/>
      <c r="W20" s="11"/>
    </row>
    <row r="21" spans="1:23" ht="15" customHeight="1" thickBot="1">
      <c r="A21" s="5">
        <v>46313</v>
      </c>
      <c r="B21" s="6"/>
      <c r="C21" s="6"/>
      <c r="D21" s="6"/>
      <c r="E21" s="6"/>
      <c r="F21" s="7" cm="1">
        <f t="array" ref="F21">C21-D21-E21</f>
        <v>0</v>
      </c>
      <c r="G21" s="8"/>
      <c r="H21" s="8"/>
      <c r="I21" s="8"/>
      <c r="J21" s="8"/>
      <c r="K21" s="7" cm="1">
        <f t="array" ref="K21">H21-I21-J21</f>
        <v>0</v>
      </c>
      <c r="L21" s="9"/>
      <c r="M21" s="9"/>
      <c r="N21" s="9"/>
      <c r="O21" s="9"/>
      <c r="P21" s="10" cm="1">
        <f t="array" ref="P21">M21-N21-O21</f>
        <v>0</v>
      </c>
      <c r="Q21" s="9"/>
      <c r="R21" s="9"/>
      <c r="S21" s="9"/>
      <c r="T21" s="9"/>
      <c r="U21" s="10" cm="1">
        <f t="array" ref="U21">R21-S21-T21</f>
        <v>0</v>
      </c>
      <c r="V21" s="11"/>
      <c r="W21" s="11"/>
    </row>
    <row r="22" spans="1:23" ht="15" customHeight="1" thickBot="1">
      <c r="A22" s="5">
        <v>46314</v>
      </c>
      <c r="B22" s="6"/>
      <c r="C22" s="6"/>
      <c r="D22" s="6"/>
      <c r="E22" s="6"/>
      <c r="F22" s="7" cm="1">
        <f t="array" ref="F22">C22-D22-E22</f>
        <v>0</v>
      </c>
      <c r="G22" s="8"/>
      <c r="H22" s="8"/>
      <c r="I22" s="8"/>
      <c r="J22" s="8"/>
      <c r="K22" s="7" cm="1">
        <f t="array" ref="K22">H22-I22-J22</f>
        <v>0</v>
      </c>
      <c r="L22" s="9"/>
      <c r="M22" s="9"/>
      <c r="N22" s="9"/>
      <c r="O22" s="9"/>
      <c r="P22" s="10" cm="1">
        <f t="array" ref="P22">M22-N22-O22</f>
        <v>0</v>
      </c>
      <c r="Q22" s="9"/>
      <c r="R22" s="9"/>
      <c r="S22" s="9"/>
      <c r="T22" s="9"/>
      <c r="U22" s="10" cm="1">
        <f t="array" ref="U22">R22-S22-T22</f>
        <v>0</v>
      </c>
      <c r="V22" s="11"/>
      <c r="W22" s="11"/>
    </row>
    <row r="23" spans="1:23" ht="15" customHeight="1" thickBot="1">
      <c r="A23" s="5">
        <v>46315</v>
      </c>
      <c r="B23" s="6"/>
      <c r="C23" s="6"/>
      <c r="D23" s="6"/>
      <c r="E23" s="6"/>
      <c r="F23" s="7" cm="1">
        <f t="array" ref="F23">C23-D23-E23</f>
        <v>0</v>
      </c>
      <c r="G23" s="8"/>
      <c r="H23" s="8"/>
      <c r="I23" s="8"/>
      <c r="J23" s="8"/>
      <c r="K23" s="7" cm="1">
        <f t="array" ref="K23">H23-I23-J23</f>
        <v>0</v>
      </c>
      <c r="L23" s="9"/>
      <c r="M23" s="9"/>
      <c r="N23" s="9"/>
      <c r="O23" s="9"/>
      <c r="P23" s="10" cm="1">
        <f t="array" ref="P23">M23-N23-O23</f>
        <v>0</v>
      </c>
      <c r="Q23" s="9"/>
      <c r="R23" s="9"/>
      <c r="S23" s="9"/>
      <c r="T23" s="9"/>
      <c r="U23" s="10" cm="1">
        <f t="array" ref="U23">R23-S23-T23</f>
        <v>0</v>
      </c>
      <c r="V23" s="11"/>
      <c r="W23" s="11"/>
    </row>
    <row r="24" spans="1:23" ht="15" customHeight="1" thickBot="1">
      <c r="A24" s="5">
        <v>46316</v>
      </c>
      <c r="B24" s="6"/>
      <c r="C24" s="6"/>
      <c r="D24" s="6"/>
      <c r="E24" s="6"/>
      <c r="F24" s="7" cm="1">
        <f t="array" ref="F24">C24-D24-E24</f>
        <v>0</v>
      </c>
      <c r="G24" s="8"/>
      <c r="H24" s="8"/>
      <c r="I24" s="8"/>
      <c r="J24" s="8"/>
      <c r="K24" s="7" cm="1">
        <f t="array" ref="K24">H24-I24-J24</f>
        <v>0</v>
      </c>
      <c r="L24" s="9"/>
      <c r="M24" s="9"/>
      <c r="N24" s="9"/>
      <c r="O24" s="9"/>
      <c r="P24" s="10" cm="1">
        <f t="array" ref="P24">M24-N24-O24</f>
        <v>0</v>
      </c>
      <c r="Q24" s="9"/>
      <c r="R24" s="9"/>
      <c r="S24" s="9"/>
      <c r="T24" s="9"/>
      <c r="U24" s="10" cm="1">
        <f t="array" ref="U24">R24-S24-T24</f>
        <v>0</v>
      </c>
      <c r="V24" s="11"/>
      <c r="W24" s="11"/>
    </row>
    <row r="25" spans="1:23" ht="15" customHeight="1" thickBot="1">
      <c r="A25" s="5">
        <v>46317</v>
      </c>
      <c r="B25" s="6"/>
      <c r="C25" s="6"/>
      <c r="D25" s="6"/>
      <c r="E25" s="6"/>
      <c r="F25" s="7" cm="1">
        <f t="array" ref="F25">C25-D25-E25</f>
        <v>0</v>
      </c>
      <c r="G25" s="8"/>
      <c r="H25" s="8"/>
      <c r="I25" s="8"/>
      <c r="J25" s="8"/>
      <c r="K25" s="7" cm="1">
        <f t="array" ref="K25">H25-I25-J25</f>
        <v>0</v>
      </c>
      <c r="L25" s="9"/>
      <c r="M25" s="9"/>
      <c r="N25" s="9"/>
      <c r="O25" s="9"/>
      <c r="P25" s="10" cm="1">
        <f t="array" ref="P25">M25-N25-O25</f>
        <v>0</v>
      </c>
      <c r="Q25" s="9"/>
      <c r="R25" s="9"/>
      <c r="S25" s="9"/>
      <c r="T25" s="9"/>
      <c r="U25" s="10" cm="1">
        <f t="array" ref="U25">R25-S25-T25</f>
        <v>0</v>
      </c>
      <c r="V25" s="11"/>
      <c r="W25" s="11"/>
    </row>
    <row r="26" spans="1:23" ht="15" customHeight="1" thickBot="1">
      <c r="A26" s="5">
        <v>46318</v>
      </c>
      <c r="B26" s="6"/>
      <c r="C26" s="6"/>
      <c r="D26" s="6"/>
      <c r="E26" s="6"/>
      <c r="F26" s="7" cm="1">
        <f t="array" ref="F26">C26-D26-E26</f>
        <v>0</v>
      </c>
      <c r="G26" s="8"/>
      <c r="H26" s="8"/>
      <c r="I26" s="8"/>
      <c r="J26" s="8"/>
      <c r="K26" s="7" cm="1">
        <f t="array" ref="K26">H26-I26-J26</f>
        <v>0</v>
      </c>
      <c r="L26" s="9"/>
      <c r="M26" s="9"/>
      <c r="N26" s="9"/>
      <c r="O26" s="9"/>
      <c r="P26" s="10" cm="1">
        <f t="array" ref="P26">M26-N26-O26</f>
        <v>0</v>
      </c>
      <c r="Q26" s="9"/>
      <c r="R26" s="9"/>
      <c r="S26" s="9"/>
      <c r="T26" s="9"/>
      <c r="U26" s="10" cm="1">
        <f t="array" ref="U26">R26-S26-T26</f>
        <v>0</v>
      </c>
      <c r="V26" s="11"/>
      <c r="W26" s="11"/>
    </row>
    <row r="27" spans="1:23" ht="15" customHeight="1" thickBot="1">
      <c r="A27" s="5">
        <v>46319</v>
      </c>
      <c r="B27" s="6"/>
      <c r="C27" s="6"/>
      <c r="D27" s="6"/>
      <c r="E27" s="6"/>
      <c r="F27" s="7" cm="1">
        <f t="array" ref="F27">C27-D27-E27</f>
        <v>0</v>
      </c>
      <c r="G27" s="8"/>
      <c r="H27" s="8"/>
      <c r="I27" s="8"/>
      <c r="J27" s="8"/>
      <c r="K27" s="7" cm="1">
        <f t="array" ref="K27">H27-I27-J27</f>
        <v>0</v>
      </c>
      <c r="L27" s="9"/>
      <c r="M27" s="9"/>
      <c r="N27" s="9"/>
      <c r="O27" s="9"/>
      <c r="P27" s="10" cm="1">
        <f t="array" ref="P27">M27-N27-O27</f>
        <v>0</v>
      </c>
      <c r="Q27" s="9"/>
      <c r="R27" s="9"/>
      <c r="S27" s="9"/>
      <c r="T27" s="9"/>
      <c r="U27" s="10" cm="1">
        <f t="array" ref="U27">R27-S27-T27</f>
        <v>0</v>
      </c>
      <c r="V27" s="11"/>
      <c r="W27" s="11"/>
    </row>
    <row r="28" spans="1:23" ht="15" customHeight="1" thickBot="1">
      <c r="A28" s="5">
        <v>46320</v>
      </c>
      <c r="B28" s="6"/>
      <c r="C28" s="6"/>
      <c r="D28" s="6"/>
      <c r="E28" s="6"/>
      <c r="F28" s="7" cm="1">
        <f t="array" ref="F28">C28-D28-E28</f>
        <v>0</v>
      </c>
      <c r="G28" s="8"/>
      <c r="H28" s="8"/>
      <c r="I28" s="8"/>
      <c r="J28" s="8"/>
      <c r="K28" s="7" cm="1">
        <f t="array" ref="K28">H28-I28-J28</f>
        <v>0</v>
      </c>
      <c r="L28" s="9"/>
      <c r="M28" s="9"/>
      <c r="N28" s="9"/>
      <c r="O28" s="9"/>
      <c r="P28" s="10" cm="1">
        <f t="array" ref="P28">M28-N28-O28</f>
        <v>0</v>
      </c>
      <c r="Q28" s="9"/>
      <c r="R28" s="9"/>
      <c r="S28" s="9"/>
      <c r="T28" s="9"/>
      <c r="U28" s="10" cm="1">
        <f t="array" ref="U28">R28-S28-T28</f>
        <v>0</v>
      </c>
      <c r="V28" s="11"/>
      <c r="W28" s="11"/>
    </row>
    <row r="29" spans="1:23" ht="15" customHeight="1" thickBot="1">
      <c r="A29" s="5">
        <v>46321</v>
      </c>
      <c r="B29" s="6"/>
      <c r="C29" s="6"/>
      <c r="D29" s="6"/>
      <c r="E29" s="6"/>
      <c r="F29" s="7" cm="1">
        <f t="array" ref="F29">C29-D29-E29</f>
        <v>0</v>
      </c>
      <c r="G29" s="8"/>
      <c r="H29" s="8"/>
      <c r="I29" s="8"/>
      <c r="J29" s="8"/>
      <c r="K29" s="7" cm="1">
        <f t="array" ref="K29">H29-I29-J29</f>
        <v>0</v>
      </c>
      <c r="L29" s="9"/>
      <c r="M29" s="9"/>
      <c r="N29" s="9"/>
      <c r="O29" s="9"/>
      <c r="P29" s="10" cm="1">
        <f t="array" ref="P29">M29-N29-O29</f>
        <v>0</v>
      </c>
      <c r="Q29" s="9"/>
      <c r="R29" s="9"/>
      <c r="S29" s="9"/>
      <c r="T29" s="9"/>
      <c r="U29" s="10" cm="1">
        <f t="array" ref="U29">R29-S29-T29</f>
        <v>0</v>
      </c>
      <c r="V29" s="11"/>
      <c r="W29" s="11"/>
    </row>
    <row r="30" spans="1:23" ht="15" customHeight="1" thickBot="1">
      <c r="A30" s="5">
        <v>46322</v>
      </c>
      <c r="B30" s="6"/>
      <c r="C30" s="6"/>
      <c r="D30" s="6"/>
      <c r="E30" s="6"/>
      <c r="F30" s="7" cm="1">
        <f t="array" ref="F30">C30-D30-E30</f>
        <v>0</v>
      </c>
      <c r="G30" s="8"/>
      <c r="H30" s="8"/>
      <c r="I30" s="8"/>
      <c r="J30" s="8"/>
      <c r="K30" s="7" cm="1">
        <f t="array" ref="K30">H30-I30-J30</f>
        <v>0</v>
      </c>
      <c r="L30" s="9"/>
      <c r="M30" s="9"/>
      <c r="N30" s="9"/>
      <c r="O30" s="9"/>
      <c r="P30" s="10" cm="1">
        <f t="array" ref="P30">M30-N30-O30</f>
        <v>0</v>
      </c>
      <c r="Q30" s="9"/>
      <c r="R30" s="9"/>
      <c r="S30" s="9"/>
      <c r="T30" s="9"/>
      <c r="U30" s="10" cm="1">
        <f t="array" ref="U30">R30-S30-T30</f>
        <v>0</v>
      </c>
      <c r="V30" s="11"/>
      <c r="W30" s="11"/>
    </row>
    <row r="31" spans="1:23" ht="15" customHeight="1" thickBot="1">
      <c r="A31" s="5">
        <v>46323</v>
      </c>
      <c r="B31" s="6"/>
      <c r="C31" s="6"/>
      <c r="D31" s="6"/>
      <c r="E31" s="6"/>
      <c r="F31" s="7" cm="1">
        <f t="array" ref="F31">C31-D31-E31</f>
        <v>0</v>
      </c>
      <c r="G31" s="8"/>
      <c r="H31" s="8"/>
      <c r="I31" s="8"/>
      <c r="J31" s="8"/>
      <c r="K31" s="7" cm="1">
        <f t="array" ref="K31">H31-I31-J31</f>
        <v>0</v>
      </c>
      <c r="L31" s="9"/>
      <c r="M31" s="9"/>
      <c r="N31" s="9"/>
      <c r="O31" s="9"/>
      <c r="P31" s="10" cm="1">
        <f t="array" ref="P31">M31-N31-O31</f>
        <v>0</v>
      </c>
      <c r="Q31" s="9"/>
      <c r="R31" s="9"/>
      <c r="S31" s="9"/>
      <c r="T31" s="9"/>
      <c r="U31" s="10" cm="1">
        <f t="array" ref="U31">R31-S31-T31</f>
        <v>0</v>
      </c>
      <c r="V31" s="11"/>
      <c r="W31" s="11"/>
    </row>
    <row r="32" spans="1:23" ht="15" customHeight="1" thickBot="1">
      <c r="A32" s="5">
        <v>46324</v>
      </c>
      <c r="B32" s="6"/>
      <c r="C32" s="6"/>
      <c r="D32" s="6"/>
      <c r="E32" s="6"/>
      <c r="F32" s="7" cm="1">
        <f t="array" ref="F32">C32-D32-E32</f>
        <v>0</v>
      </c>
      <c r="G32" s="8"/>
      <c r="H32" s="8"/>
      <c r="I32" s="8"/>
      <c r="J32" s="8"/>
      <c r="K32" s="7" cm="1">
        <f t="array" ref="K32">H32-I32-J32</f>
        <v>0</v>
      </c>
      <c r="L32" s="9"/>
      <c r="M32" s="9"/>
      <c r="N32" s="9"/>
      <c r="O32" s="9"/>
      <c r="P32" s="10" cm="1">
        <f t="array" ref="P32">M32-N32-O32</f>
        <v>0</v>
      </c>
      <c r="Q32" s="9"/>
      <c r="R32" s="9"/>
      <c r="S32" s="9"/>
      <c r="T32" s="9"/>
      <c r="U32" s="10" cm="1">
        <f t="array" ref="U32">R32-S32-T32</f>
        <v>0</v>
      </c>
      <c r="V32" s="11"/>
      <c r="W32" s="11"/>
    </row>
    <row r="33" spans="1:23" ht="15" customHeight="1" thickBot="1">
      <c r="A33" s="5">
        <v>46325</v>
      </c>
      <c r="B33" s="6"/>
      <c r="C33" s="6"/>
      <c r="D33" s="6"/>
      <c r="E33" s="6"/>
      <c r="F33" s="7" cm="1">
        <f t="array" ref="F33">C33-D33-E33</f>
        <v>0</v>
      </c>
      <c r="G33" s="8"/>
      <c r="H33" s="8"/>
      <c r="I33" s="8"/>
      <c r="J33" s="8"/>
      <c r="K33" s="7" cm="1">
        <f t="array" ref="K33">H33-I33-J33</f>
        <v>0</v>
      </c>
      <c r="L33" s="9"/>
      <c r="M33" s="9"/>
      <c r="N33" s="9"/>
      <c r="O33" s="9"/>
      <c r="P33" s="10" cm="1">
        <f t="array" ref="P33">M33-N33-O33</f>
        <v>0</v>
      </c>
      <c r="Q33" s="9"/>
      <c r="R33" s="9"/>
      <c r="S33" s="9"/>
      <c r="T33" s="9"/>
      <c r="U33" s="10" cm="1">
        <f t="array" ref="U33">R33-S33-T33</f>
        <v>0</v>
      </c>
      <c r="V33" s="11"/>
      <c r="W33" s="11"/>
    </row>
    <row r="34" spans="1:23" ht="15" customHeight="1" thickBot="1">
      <c r="A34" s="5">
        <v>46326</v>
      </c>
      <c r="B34" s="6"/>
      <c r="C34" s="6"/>
      <c r="D34" s="6"/>
      <c r="E34" s="6"/>
      <c r="F34" s="7" cm="1">
        <f t="array" ref="F34">C34-D34-E34</f>
        <v>0</v>
      </c>
      <c r="G34" s="8"/>
      <c r="H34" s="8"/>
      <c r="I34" s="8"/>
      <c r="J34" s="8"/>
      <c r="K34" s="7" cm="1">
        <f t="array" ref="K34">H34-I34-J34</f>
        <v>0</v>
      </c>
      <c r="L34" s="9"/>
      <c r="M34" s="9"/>
      <c r="N34" s="9"/>
      <c r="O34" s="9"/>
      <c r="P34" s="10" cm="1">
        <f t="array" ref="P34">M34-N34-O34</f>
        <v>0</v>
      </c>
      <c r="Q34" s="9"/>
      <c r="R34" s="9"/>
      <c r="S34" s="9"/>
      <c r="T34" s="9"/>
      <c r="U34" s="10" cm="1">
        <f t="array" ref="U34">R34-S34-T34</f>
        <v>0</v>
      </c>
      <c r="V34" s="11"/>
      <c r="W34" s="11"/>
    </row>
    <row r="35" spans="1:23" ht="15" customHeight="1" thickBot="1">
      <c r="A35" s="12" t="s">
        <v>12</v>
      </c>
      <c r="B35" s="13">
        <v>1134100</v>
      </c>
      <c r="C35" s="13" cm="1">
        <f t="array" ref="C35">SUM(C4:C34)</f>
        <v>0</v>
      </c>
      <c r="D35" s="13" cm="1">
        <f t="array" ref="D35">SUM(D4:D34)</f>
        <v>0</v>
      </c>
      <c r="E35" s="13" cm="1">
        <f t="array" ref="E35">SUM(E4:E34)</f>
        <v>0</v>
      </c>
      <c r="F35" s="14" cm="1">
        <f t="array" ref="F35">C35-D35-E35</f>
        <v>0</v>
      </c>
      <c r="G35" s="15">
        <v>1517550</v>
      </c>
      <c r="H35" s="15" cm="1">
        <f t="array" ref="H35">SUM(H4:H34)</f>
        <v>0</v>
      </c>
      <c r="I35" s="15" cm="1">
        <f t="array" ref="I35">SUM(I4:I34)</f>
        <v>0</v>
      </c>
      <c r="J35" s="15" cm="1">
        <f t="array" ref="J35">SUM(J4:J34)</f>
        <v>0</v>
      </c>
      <c r="K35" s="14" cm="1">
        <f t="array" ref="K35">H35-I35-J35</f>
        <v>0</v>
      </c>
      <c r="L35" s="16">
        <v>982800</v>
      </c>
      <c r="M35" s="16" cm="1">
        <f t="array" ref="M35">SUM(M4:M34)</f>
        <v>0</v>
      </c>
      <c r="N35" s="16" cm="1">
        <f t="array" ref="N35">SUM(N4:N34)</f>
        <v>0</v>
      </c>
      <c r="O35" s="16" cm="1">
        <f t="array" ref="O35">SUM(O4:O34)</f>
        <v>0</v>
      </c>
      <c r="P35" s="17" cm="1">
        <f t="array" ref="P35">M35-N35-O35</f>
        <v>0</v>
      </c>
      <c r="Q35" s="16"/>
      <c r="R35" s="16">
        <f>SUM(R4:R33)</f>
        <v>0</v>
      </c>
      <c r="S35" s="16" cm="1">
        <f t="array" ref="S35">SUM(S4:S33)</f>
        <v>0</v>
      </c>
      <c r="T35" s="16" cm="1">
        <f t="array" ref="T35">SUM(T4:T33)</f>
        <v>0</v>
      </c>
      <c r="U35" s="17" cm="1">
        <f t="array" ref="U35">R35-S35-T35</f>
        <v>0</v>
      </c>
      <c r="V35" s="11" cm="1">
        <f t="array" ref="V35">SUM(F35,K35,P35)</f>
        <v>0</v>
      </c>
      <c r="W35" s="11">
        <v>31500</v>
      </c>
    </row>
  </sheetData>
  <mergeCells count="23">
    <mergeCell ref="A1:A3"/>
    <mergeCell ref="B1:F1"/>
    <mergeCell ref="G1:K1"/>
    <mergeCell ref="L1:P1"/>
    <mergeCell ref="V1:V3"/>
    <mergeCell ref="N2:O2"/>
    <mergeCell ref="P2:P3"/>
    <mergeCell ref="G2:G3"/>
    <mergeCell ref="H2:H3"/>
    <mergeCell ref="I2:J2"/>
    <mergeCell ref="K2:K3"/>
    <mergeCell ref="L2:L3"/>
    <mergeCell ref="M2:M3"/>
    <mergeCell ref="Q1:U1"/>
    <mergeCell ref="Q2:Q3"/>
    <mergeCell ref="R2:R3"/>
    <mergeCell ref="W1:W3"/>
    <mergeCell ref="B2:B3"/>
    <mergeCell ref="C2:C3"/>
    <mergeCell ref="D2:E2"/>
    <mergeCell ref="F2:F3"/>
    <mergeCell ref="S2:T2"/>
    <mergeCell ref="U2:U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34"/>
  <sheetViews>
    <sheetView showGridLines="0" topLeftCell="E1" workbookViewId="0">
      <selection activeCell="Q34" sqref="Q34"/>
    </sheetView>
  </sheetViews>
  <sheetFormatPr defaultColWidth="8.88671875" defaultRowHeight="14.4" customHeight="1"/>
  <cols>
    <col min="1" max="1" width="34.88671875" style="31" customWidth="1"/>
    <col min="2" max="2" width="16.44140625" style="31" customWidth="1"/>
    <col min="3" max="3" width="18.21875" style="31" customWidth="1"/>
    <col min="4" max="4" width="14.6640625" style="31" customWidth="1"/>
    <col min="5" max="5" width="17.21875" style="31" customWidth="1"/>
    <col min="6" max="6" width="14.44140625" style="31" customWidth="1"/>
    <col min="7" max="7" width="15" style="31" customWidth="1"/>
    <col min="8" max="8" width="15.21875" style="31" customWidth="1"/>
    <col min="9" max="9" width="14.44140625" style="31" customWidth="1"/>
    <col min="10" max="10" width="14.88671875" style="31" customWidth="1"/>
    <col min="11" max="12" width="15.88671875" style="31" customWidth="1"/>
    <col min="13" max="13" width="13.88671875" style="31" customWidth="1"/>
    <col min="14" max="14" width="11.6640625" style="31" customWidth="1"/>
    <col min="15" max="15" width="12.33203125" style="31" customWidth="1"/>
    <col min="16" max="16" width="15.44140625" style="31" customWidth="1"/>
    <col min="17" max="17" width="14" style="31" customWidth="1"/>
    <col min="18" max="19" width="13.44140625" style="31" customWidth="1"/>
    <col min="20" max="20" width="11.21875" style="31" customWidth="1"/>
    <col min="21" max="21" width="15.44140625" style="31" customWidth="1"/>
    <col min="22" max="22" width="11.77734375" style="31" customWidth="1"/>
    <col min="23" max="23" width="13.33203125" style="31" customWidth="1"/>
    <col min="24" max="16384" width="8.88671875" style="31"/>
  </cols>
  <sheetData>
    <row r="1" spans="1:23" ht="15" customHeight="1" thickBot="1">
      <c r="A1" s="47" t="s">
        <v>0</v>
      </c>
      <c r="B1" s="51" t="s">
        <v>1</v>
      </c>
      <c r="C1" s="52"/>
      <c r="D1" s="52"/>
      <c r="E1" s="52"/>
      <c r="F1" s="53"/>
      <c r="G1" s="60" t="s">
        <v>2</v>
      </c>
      <c r="H1" s="66"/>
      <c r="I1" s="66"/>
      <c r="J1" s="66"/>
      <c r="K1" s="61"/>
      <c r="L1" s="39" t="s">
        <v>3</v>
      </c>
      <c r="M1" s="65"/>
      <c r="N1" s="65"/>
      <c r="O1" s="65"/>
      <c r="P1" s="40"/>
      <c r="Q1" s="39" t="s">
        <v>14</v>
      </c>
      <c r="R1" s="65"/>
      <c r="S1" s="65"/>
      <c r="T1" s="65"/>
      <c r="U1" s="40"/>
      <c r="V1" s="67" t="s">
        <v>4</v>
      </c>
      <c r="W1" s="67" t="s">
        <v>5</v>
      </c>
    </row>
    <row r="2" spans="1:23" ht="15" customHeight="1" thickBot="1">
      <c r="A2" s="48"/>
      <c r="B2" s="49" t="s">
        <v>6</v>
      </c>
      <c r="C2" s="54" t="s">
        <v>7</v>
      </c>
      <c r="D2" s="51" t="s">
        <v>8</v>
      </c>
      <c r="E2" s="53"/>
      <c r="F2" s="33" t="s">
        <v>9</v>
      </c>
      <c r="G2" s="56" t="s">
        <v>6</v>
      </c>
      <c r="H2" s="58" t="s">
        <v>7</v>
      </c>
      <c r="I2" s="60" t="s">
        <v>8</v>
      </c>
      <c r="J2" s="61"/>
      <c r="K2" s="33" t="s">
        <v>9</v>
      </c>
      <c r="L2" s="35" t="s">
        <v>6</v>
      </c>
      <c r="M2" s="37" t="s">
        <v>7</v>
      </c>
      <c r="N2" s="39" t="s">
        <v>8</v>
      </c>
      <c r="O2" s="40"/>
      <c r="P2" s="33" t="s">
        <v>9</v>
      </c>
      <c r="Q2" s="35" t="s">
        <v>6</v>
      </c>
      <c r="R2" s="37" t="s">
        <v>7</v>
      </c>
      <c r="S2" s="39" t="s">
        <v>8</v>
      </c>
      <c r="T2" s="40"/>
      <c r="U2" s="33" t="s">
        <v>9</v>
      </c>
      <c r="V2" s="68"/>
      <c r="W2" s="68"/>
    </row>
    <row r="3" spans="1:23" ht="27.6" customHeight="1" thickBot="1">
      <c r="A3" s="48"/>
      <c r="B3" s="50"/>
      <c r="C3" s="55"/>
      <c r="D3" s="2" t="s">
        <v>10</v>
      </c>
      <c r="E3" s="2" t="s">
        <v>11</v>
      </c>
      <c r="F3" s="34"/>
      <c r="G3" s="57"/>
      <c r="H3" s="59"/>
      <c r="I3" s="3" t="s">
        <v>10</v>
      </c>
      <c r="J3" s="3" t="s">
        <v>11</v>
      </c>
      <c r="K3" s="34"/>
      <c r="L3" s="36"/>
      <c r="M3" s="38"/>
      <c r="N3" s="4" t="s">
        <v>10</v>
      </c>
      <c r="O3" s="4" t="s">
        <v>11</v>
      </c>
      <c r="P3" s="34"/>
      <c r="Q3" s="36"/>
      <c r="R3" s="38"/>
      <c r="S3" s="4" t="s">
        <v>10</v>
      </c>
      <c r="T3" s="4" t="s">
        <v>11</v>
      </c>
      <c r="U3" s="34"/>
      <c r="V3" s="68"/>
      <c r="W3" s="68"/>
    </row>
    <row r="4" spans="1:23" ht="15" customHeight="1" thickBot="1">
      <c r="A4" s="5">
        <v>46327</v>
      </c>
      <c r="B4" s="6"/>
      <c r="C4" s="6"/>
      <c r="D4" s="6"/>
      <c r="E4" s="6"/>
      <c r="F4" s="7" cm="1">
        <f t="array" ref="F4">C4-D4-E4</f>
        <v>0</v>
      </c>
      <c r="G4" s="8"/>
      <c r="H4" s="8"/>
      <c r="I4" s="8"/>
      <c r="J4" s="8"/>
      <c r="K4" s="7" cm="1">
        <f t="array" ref="K4">H4-I4-J4</f>
        <v>0</v>
      </c>
      <c r="L4" s="9"/>
      <c r="M4" s="9"/>
      <c r="N4" s="9"/>
      <c r="O4" s="9"/>
      <c r="P4" s="7" cm="1">
        <f t="array" ref="P4">M4-N4-O4</f>
        <v>0</v>
      </c>
      <c r="Q4" s="9"/>
      <c r="R4" s="9"/>
      <c r="S4" s="9"/>
      <c r="T4" s="9"/>
      <c r="U4" s="10" cm="1">
        <f t="array" ref="U4">R4-S4-T4</f>
        <v>0</v>
      </c>
      <c r="V4" s="26"/>
      <c r="W4" s="26"/>
    </row>
    <row r="5" spans="1:23" ht="15" customHeight="1" thickBot="1">
      <c r="A5" s="5">
        <v>46328</v>
      </c>
      <c r="B5" s="6"/>
      <c r="C5" s="6"/>
      <c r="D5" s="6"/>
      <c r="E5" s="6"/>
      <c r="F5" s="7" cm="1">
        <f t="array" ref="F5">C5-D5-E5</f>
        <v>0</v>
      </c>
      <c r="G5" s="8"/>
      <c r="H5" s="8"/>
      <c r="I5" s="8"/>
      <c r="J5" s="8"/>
      <c r="K5" s="7" cm="1">
        <f t="array" ref="K5">H5-I5-J5</f>
        <v>0</v>
      </c>
      <c r="L5" s="9"/>
      <c r="M5" s="9"/>
      <c r="N5" s="9"/>
      <c r="O5" s="9"/>
      <c r="P5" s="7" cm="1">
        <f t="array" ref="P5">M5-N5-O5</f>
        <v>0</v>
      </c>
      <c r="Q5" s="9"/>
      <c r="R5" s="9"/>
      <c r="S5" s="9"/>
      <c r="T5" s="9"/>
      <c r="U5" s="10" cm="1">
        <f t="array" ref="U5">R5-S5-T5</f>
        <v>0</v>
      </c>
      <c r="V5" s="26"/>
      <c r="W5" s="26"/>
    </row>
    <row r="6" spans="1:23" ht="15" customHeight="1" thickBot="1">
      <c r="A6" s="5">
        <v>46329</v>
      </c>
      <c r="B6" s="6"/>
      <c r="C6" s="6"/>
      <c r="D6" s="6"/>
      <c r="E6" s="6"/>
      <c r="F6" s="7" cm="1">
        <f t="array" ref="F6">C6-D6-E6</f>
        <v>0</v>
      </c>
      <c r="G6" s="8"/>
      <c r="H6" s="8"/>
      <c r="I6" s="8"/>
      <c r="J6" s="8"/>
      <c r="K6" s="7" cm="1">
        <f t="array" ref="K6">H6-I6-J6</f>
        <v>0</v>
      </c>
      <c r="L6" s="9"/>
      <c r="M6" s="9"/>
      <c r="N6" s="9"/>
      <c r="O6" s="9"/>
      <c r="P6" s="7" cm="1">
        <f t="array" ref="P6">M6-N6-O6</f>
        <v>0</v>
      </c>
      <c r="Q6" s="9"/>
      <c r="R6" s="9"/>
      <c r="S6" s="9"/>
      <c r="T6" s="9"/>
      <c r="U6" s="10" cm="1">
        <f t="array" ref="U6">R6-S6-T6</f>
        <v>0</v>
      </c>
      <c r="V6" s="26"/>
      <c r="W6" s="26"/>
    </row>
    <row r="7" spans="1:23" ht="15" customHeight="1" thickBot="1">
      <c r="A7" s="5">
        <v>46330</v>
      </c>
      <c r="B7" s="6"/>
      <c r="C7" s="6"/>
      <c r="D7" s="6"/>
      <c r="E7" s="6"/>
      <c r="F7" s="7" cm="1">
        <f t="array" ref="F7">C7-D7-E7</f>
        <v>0</v>
      </c>
      <c r="G7" s="8"/>
      <c r="H7" s="8"/>
      <c r="I7" s="8"/>
      <c r="J7" s="8"/>
      <c r="K7" s="7" cm="1">
        <f t="array" ref="K7">H7-I7-J7</f>
        <v>0</v>
      </c>
      <c r="L7" s="9"/>
      <c r="M7" s="9"/>
      <c r="N7" s="9"/>
      <c r="O7" s="9"/>
      <c r="P7" s="7" cm="1">
        <f t="array" ref="P7">M7-N7-O7</f>
        <v>0</v>
      </c>
      <c r="Q7" s="9"/>
      <c r="R7" s="9"/>
      <c r="S7" s="9"/>
      <c r="T7" s="9"/>
      <c r="U7" s="10" cm="1">
        <f t="array" ref="U7">R7-S7-T7</f>
        <v>0</v>
      </c>
      <c r="V7" s="26"/>
      <c r="W7" s="26"/>
    </row>
    <row r="8" spans="1:23" ht="15" customHeight="1" thickBot="1">
      <c r="A8" s="5">
        <v>46331</v>
      </c>
      <c r="B8" s="6"/>
      <c r="C8" s="6"/>
      <c r="D8" s="6"/>
      <c r="E8" s="6"/>
      <c r="F8" s="7" cm="1">
        <f t="array" ref="F8">C8-D8-E8</f>
        <v>0</v>
      </c>
      <c r="G8" s="8"/>
      <c r="H8" s="8"/>
      <c r="I8" s="8"/>
      <c r="J8" s="8"/>
      <c r="K8" s="7" cm="1">
        <f t="array" ref="K8">H8-I8-J8</f>
        <v>0</v>
      </c>
      <c r="L8" s="9"/>
      <c r="M8" s="9"/>
      <c r="N8" s="9"/>
      <c r="O8" s="9"/>
      <c r="P8" s="7" cm="1">
        <f t="array" ref="P8">M8-N8-O8</f>
        <v>0</v>
      </c>
      <c r="Q8" s="9"/>
      <c r="R8" s="9"/>
      <c r="S8" s="9"/>
      <c r="T8" s="9"/>
      <c r="U8" s="10" cm="1">
        <f t="array" ref="U8">R8-S8-T8</f>
        <v>0</v>
      </c>
      <c r="V8" s="26"/>
      <c r="W8" s="26"/>
    </row>
    <row r="9" spans="1:23" ht="15" customHeight="1" thickBot="1">
      <c r="A9" s="5">
        <v>46332</v>
      </c>
      <c r="B9" s="6"/>
      <c r="C9" s="6"/>
      <c r="D9" s="6"/>
      <c r="E9" s="6"/>
      <c r="F9" s="7" cm="1">
        <f t="array" ref="F9">C9-D9-E9</f>
        <v>0</v>
      </c>
      <c r="G9" s="8"/>
      <c r="H9" s="8"/>
      <c r="I9" s="8"/>
      <c r="J9" s="8"/>
      <c r="K9" s="7" cm="1">
        <f t="array" ref="K9">H9-I9-J9</f>
        <v>0</v>
      </c>
      <c r="L9" s="9"/>
      <c r="M9" s="9"/>
      <c r="N9" s="9"/>
      <c r="O9" s="9"/>
      <c r="P9" s="7" cm="1">
        <f t="array" ref="P9">M9-N9-O9</f>
        <v>0</v>
      </c>
      <c r="Q9" s="9"/>
      <c r="R9" s="9"/>
      <c r="S9" s="9"/>
      <c r="T9" s="9"/>
      <c r="U9" s="10" cm="1">
        <f t="array" ref="U9">R9-S9-T9</f>
        <v>0</v>
      </c>
      <c r="V9" s="26"/>
      <c r="W9" s="26"/>
    </row>
    <row r="10" spans="1:23" ht="15" customHeight="1" thickBot="1">
      <c r="A10" s="5">
        <v>46333</v>
      </c>
      <c r="B10" s="6"/>
      <c r="C10" s="6"/>
      <c r="D10" s="6"/>
      <c r="E10" s="6"/>
      <c r="F10" s="7" cm="1">
        <f t="array" ref="F10">C10-D10-E10</f>
        <v>0</v>
      </c>
      <c r="G10" s="8"/>
      <c r="H10" s="8"/>
      <c r="I10" s="8"/>
      <c r="J10" s="8"/>
      <c r="K10" s="7" cm="1">
        <f t="array" ref="K10">H10-I10-J10</f>
        <v>0</v>
      </c>
      <c r="L10" s="9"/>
      <c r="M10" s="9"/>
      <c r="N10" s="9"/>
      <c r="O10" s="9"/>
      <c r="P10" s="7" cm="1">
        <f t="array" ref="P10">M10-N10-O10</f>
        <v>0</v>
      </c>
      <c r="Q10" s="9"/>
      <c r="R10" s="9"/>
      <c r="S10" s="9"/>
      <c r="T10" s="9"/>
      <c r="U10" s="10" cm="1">
        <f t="array" ref="U10">R10-S10-T10</f>
        <v>0</v>
      </c>
      <c r="V10" s="26"/>
      <c r="W10" s="26"/>
    </row>
    <row r="11" spans="1:23" ht="15" customHeight="1" thickBot="1">
      <c r="A11" s="5">
        <v>46334</v>
      </c>
      <c r="B11" s="6"/>
      <c r="C11" s="6"/>
      <c r="D11" s="6"/>
      <c r="E11" s="6"/>
      <c r="F11" s="7" cm="1">
        <f t="array" ref="F11">C11-D11-E11</f>
        <v>0</v>
      </c>
      <c r="G11" s="8"/>
      <c r="H11" s="8"/>
      <c r="I11" s="8"/>
      <c r="J11" s="8"/>
      <c r="K11" s="7" cm="1">
        <f t="array" ref="K11">H11-I11-J11</f>
        <v>0</v>
      </c>
      <c r="L11" s="9"/>
      <c r="M11" s="9"/>
      <c r="N11" s="9"/>
      <c r="O11" s="9"/>
      <c r="P11" s="7" cm="1">
        <f t="array" ref="P11">M11-N11-O11</f>
        <v>0</v>
      </c>
      <c r="Q11" s="9"/>
      <c r="R11" s="9"/>
      <c r="S11" s="9"/>
      <c r="T11" s="9"/>
      <c r="U11" s="10" cm="1">
        <f t="array" ref="U11">R11-S11-T11</f>
        <v>0</v>
      </c>
      <c r="V11" s="26"/>
      <c r="W11" s="26"/>
    </row>
    <row r="12" spans="1:23" ht="15" customHeight="1" thickBot="1">
      <c r="A12" s="5">
        <v>46335</v>
      </c>
      <c r="B12" s="6"/>
      <c r="C12" s="6"/>
      <c r="D12" s="6"/>
      <c r="E12" s="6"/>
      <c r="F12" s="7" cm="1">
        <f t="array" ref="F12">C12-D12-E12</f>
        <v>0</v>
      </c>
      <c r="G12" s="8"/>
      <c r="H12" s="8"/>
      <c r="I12" s="8"/>
      <c r="J12" s="8"/>
      <c r="K12" s="7" cm="1">
        <f t="array" ref="K12">H12-I12-J12</f>
        <v>0</v>
      </c>
      <c r="L12" s="9"/>
      <c r="M12" s="9"/>
      <c r="N12" s="9"/>
      <c r="O12" s="9"/>
      <c r="P12" s="7" cm="1">
        <f t="array" ref="P12">M12-N12-O12</f>
        <v>0</v>
      </c>
      <c r="Q12" s="9"/>
      <c r="R12" s="9"/>
      <c r="S12" s="9"/>
      <c r="T12" s="9"/>
      <c r="U12" s="10" cm="1">
        <f t="array" ref="U12">R12-S12-T12</f>
        <v>0</v>
      </c>
      <c r="V12" s="26"/>
      <c r="W12" s="26"/>
    </row>
    <row r="13" spans="1:23" ht="15" customHeight="1" thickBot="1">
      <c r="A13" s="5">
        <v>46336</v>
      </c>
      <c r="B13" s="6"/>
      <c r="C13" s="6"/>
      <c r="D13" s="6"/>
      <c r="E13" s="6"/>
      <c r="F13" s="7" cm="1">
        <f t="array" ref="F13">C13-D13-E13</f>
        <v>0</v>
      </c>
      <c r="G13" s="8"/>
      <c r="H13" s="8"/>
      <c r="I13" s="8"/>
      <c r="J13" s="8"/>
      <c r="K13" s="7" cm="1">
        <f t="array" ref="K13">H13-I13-J13</f>
        <v>0</v>
      </c>
      <c r="L13" s="9"/>
      <c r="M13" s="9"/>
      <c r="N13" s="9"/>
      <c r="O13" s="9"/>
      <c r="P13" s="7" cm="1">
        <f t="array" ref="P13">M13-N13-O13</f>
        <v>0</v>
      </c>
      <c r="Q13" s="9"/>
      <c r="R13" s="9"/>
      <c r="S13" s="9"/>
      <c r="T13" s="9"/>
      <c r="U13" s="10" cm="1">
        <f t="array" ref="U13">R13-S13-T13</f>
        <v>0</v>
      </c>
      <c r="V13" s="26"/>
      <c r="W13" s="26"/>
    </row>
    <row r="14" spans="1:23" ht="15" customHeight="1" thickBot="1">
      <c r="A14" s="5">
        <v>46337</v>
      </c>
      <c r="B14" s="6"/>
      <c r="C14" s="6"/>
      <c r="D14" s="6"/>
      <c r="E14" s="6"/>
      <c r="F14" s="7" cm="1">
        <f t="array" ref="F14">C14-D14-E14</f>
        <v>0</v>
      </c>
      <c r="G14" s="8"/>
      <c r="H14" s="8"/>
      <c r="I14" s="8"/>
      <c r="J14" s="8"/>
      <c r="K14" s="7" cm="1">
        <f t="array" ref="K14">H14-I14-J14</f>
        <v>0</v>
      </c>
      <c r="L14" s="9"/>
      <c r="M14" s="9"/>
      <c r="N14" s="9"/>
      <c r="O14" s="9"/>
      <c r="P14" s="7" cm="1">
        <f t="array" ref="P14">M14-N14-O14</f>
        <v>0</v>
      </c>
      <c r="Q14" s="9"/>
      <c r="R14" s="9"/>
      <c r="S14" s="9"/>
      <c r="T14" s="9"/>
      <c r="U14" s="10" cm="1">
        <f t="array" ref="U14">R14-S14-T14</f>
        <v>0</v>
      </c>
      <c r="V14" s="26"/>
      <c r="W14" s="26"/>
    </row>
    <row r="15" spans="1:23" ht="15" customHeight="1" thickBot="1">
      <c r="A15" s="5">
        <v>46338</v>
      </c>
      <c r="B15" s="6"/>
      <c r="C15" s="6"/>
      <c r="D15" s="6"/>
      <c r="E15" s="6"/>
      <c r="F15" s="7" cm="1">
        <f t="array" ref="F15">C15-D15-E15</f>
        <v>0</v>
      </c>
      <c r="G15" s="8"/>
      <c r="H15" s="8"/>
      <c r="I15" s="8"/>
      <c r="J15" s="8"/>
      <c r="K15" s="7" cm="1">
        <f t="array" ref="K15">H15-I15-J15</f>
        <v>0</v>
      </c>
      <c r="L15" s="9"/>
      <c r="M15" s="9"/>
      <c r="N15" s="9"/>
      <c r="O15" s="9"/>
      <c r="P15" s="7" cm="1">
        <f t="array" ref="P15">M15-N15-O15</f>
        <v>0</v>
      </c>
      <c r="Q15" s="9"/>
      <c r="R15" s="9"/>
      <c r="S15" s="9"/>
      <c r="T15" s="9"/>
      <c r="U15" s="10" cm="1">
        <f t="array" ref="U15">R15-S15-T15</f>
        <v>0</v>
      </c>
      <c r="V15" s="26"/>
      <c r="W15" s="26"/>
    </row>
    <row r="16" spans="1:23" ht="15" customHeight="1" thickBot="1">
      <c r="A16" s="5">
        <v>46339</v>
      </c>
      <c r="B16" s="6"/>
      <c r="C16" s="6"/>
      <c r="D16" s="6"/>
      <c r="E16" s="6"/>
      <c r="F16" s="7" cm="1">
        <f t="array" ref="F16">C16-D16-E16</f>
        <v>0</v>
      </c>
      <c r="G16" s="8"/>
      <c r="H16" s="8"/>
      <c r="I16" s="8"/>
      <c r="J16" s="8"/>
      <c r="K16" s="7" cm="1">
        <f t="array" ref="K16">H16-I16-J16</f>
        <v>0</v>
      </c>
      <c r="L16" s="9"/>
      <c r="M16" s="9"/>
      <c r="N16" s="9"/>
      <c r="O16" s="9"/>
      <c r="P16" s="7" cm="1">
        <f t="array" ref="P16">M16-N16-O16</f>
        <v>0</v>
      </c>
      <c r="Q16" s="9"/>
      <c r="R16" s="9"/>
      <c r="S16" s="9"/>
      <c r="T16" s="9"/>
      <c r="U16" s="10" cm="1">
        <f t="array" ref="U16">R16-S16-T16</f>
        <v>0</v>
      </c>
      <c r="V16" s="26"/>
      <c r="W16" s="26"/>
    </row>
    <row r="17" spans="1:23" ht="15" customHeight="1" thickBot="1">
      <c r="A17" s="5">
        <v>46340</v>
      </c>
      <c r="B17" s="6"/>
      <c r="C17" s="6"/>
      <c r="D17" s="6"/>
      <c r="E17" s="6"/>
      <c r="F17" s="7" cm="1">
        <f t="array" ref="F17">C17-D17-E17</f>
        <v>0</v>
      </c>
      <c r="G17" s="8"/>
      <c r="H17" s="8"/>
      <c r="I17" s="8"/>
      <c r="J17" s="8"/>
      <c r="K17" s="7" cm="1">
        <f t="array" ref="K17">H17-I17-J17</f>
        <v>0</v>
      </c>
      <c r="L17" s="9"/>
      <c r="M17" s="9"/>
      <c r="N17" s="9"/>
      <c r="O17" s="9"/>
      <c r="P17" s="7" cm="1">
        <f t="array" ref="P17">M17-N17-O17</f>
        <v>0</v>
      </c>
      <c r="Q17" s="9"/>
      <c r="R17" s="9"/>
      <c r="S17" s="9"/>
      <c r="T17" s="9"/>
      <c r="U17" s="10" cm="1">
        <f t="array" ref="U17">R17-S17-T17</f>
        <v>0</v>
      </c>
      <c r="V17" s="26"/>
      <c r="W17" s="26"/>
    </row>
    <row r="18" spans="1:23" ht="15" customHeight="1" thickBot="1">
      <c r="A18" s="5">
        <v>46341</v>
      </c>
      <c r="B18" s="6"/>
      <c r="C18" s="6"/>
      <c r="D18" s="6"/>
      <c r="E18" s="6"/>
      <c r="F18" s="7" cm="1">
        <f t="array" ref="F18">C18-D18-E18</f>
        <v>0</v>
      </c>
      <c r="G18" s="8"/>
      <c r="H18" s="8"/>
      <c r="I18" s="8"/>
      <c r="J18" s="8"/>
      <c r="K18" s="7" cm="1">
        <f t="array" ref="K18">H18-I18-J18</f>
        <v>0</v>
      </c>
      <c r="L18" s="9"/>
      <c r="M18" s="9"/>
      <c r="N18" s="9"/>
      <c r="O18" s="9"/>
      <c r="P18" s="7" cm="1">
        <f t="array" ref="P18">M18-N18-O18</f>
        <v>0</v>
      </c>
      <c r="Q18" s="9"/>
      <c r="R18" s="9"/>
      <c r="S18" s="9"/>
      <c r="T18" s="9"/>
      <c r="U18" s="10" cm="1">
        <f t="array" ref="U18">R18-S18-T18</f>
        <v>0</v>
      </c>
      <c r="V18" s="26"/>
      <c r="W18" s="26"/>
    </row>
    <row r="19" spans="1:23" ht="15" customHeight="1" thickBot="1">
      <c r="A19" s="5">
        <v>46342</v>
      </c>
      <c r="B19" s="6"/>
      <c r="C19" s="6"/>
      <c r="D19" s="6"/>
      <c r="E19" s="6"/>
      <c r="F19" s="7" cm="1">
        <f t="array" ref="F19">C19-D19-E19</f>
        <v>0</v>
      </c>
      <c r="G19" s="8"/>
      <c r="H19" s="8"/>
      <c r="I19" s="8"/>
      <c r="J19" s="8"/>
      <c r="K19" s="7" cm="1">
        <f t="array" ref="K19">H19-I19-J19</f>
        <v>0</v>
      </c>
      <c r="L19" s="9"/>
      <c r="M19" s="9"/>
      <c r="N19" s="9"/>
      <c r="O19" s="9"/>
      <c r="P19" s="7" cm="1">
        <f t="array" ref="P19">M19-N19-O19</f>
        <v>0</v>
      </c>
      <c r="Q19" s="9"/>
      <c r="R19" s="9"/>
      <c r="S19" s="9"/>
      <c r="T19" s="9"/>
      <c r="U19" s="10" cm="1">
        <f t="array" ref="U19">R19-S19-T19</f>
        <v>0</v>
      </c>
      <c r="V19" s="26"/>
      <c r="W19" s="26"/>
    </row>
    <row r="20" spans="1:23" ht="15" customHeight="1" thickBot="1">
      <c r="A20" s="5">
        <v>46343</v>
      </c>
      <c r="B20" s="6"/>
      <c r="C20" s="6"/>
      <c r="D20" s="6"/>
      <c r="E20" s="6"/>
      <c r="F20" s="7" cm="1">
        <f t="array" ref="F20">C20-D20-E20</f>
        <v>0</v>
      </c>
      <c r="G20" s="8"/>
      <c r="H20" s="8"/>
      <c r="I20" s="8"/>
      <c r="J20" s="8"/>
      <c r="K20" s="7" cm="1">
        <f t="array" ref="K20">H20-I20-J20</f>
        <v>0</v>
      </c>
      <c r="L20" s="9"/>
      <c r="M20" s="9"/>
      <c r="N20" s="9"/>
      <c r="O20" s="9"/>
      <c r="P20" s="7" cm="1">
        <f t="array" ref="P20">M20-N20-O20</f>
        <v>0</v>
      </c>
      <c r="Q20" s="9"/>
      <c r="R20" s="9"/>
      <c r="S20" s="9"/>
      <c r="T20" s="9"/>
      <c r="U20" s="10" cm="1">
        <f t="array" ref="U20">R20-S20-T20</f>
        <v>0</v>
      </c>
      <c r="V20" s="26"/>
      <c r="W20" s="26"/>
    </row>
    <row r="21" spans="1:23" ht="15" customHeight="1" thickBot="1">
      <c r="A21" s="5">
        <v>46344</v>
      </c>
      <c r="B21" s="6"/>
      <c r="C21" s="6"/>
      <c r="D21" s="6"/>
      <c r="E21" s="6"/>
      <c r="F21" s="7" cm="1">
        <f t="array" ref="F21">C21-D21-E21</f>
        <v>0</v>
      </c>
      <c r="G21" s="8"/>
      <c r="H21" s="8"/>
      <c r="I21" s="8"/>
      <c r="J21" s="8"/>
      <c r="K21" s="7" cm="1">
        <f t="array" ref="K21">H21-I21-J21</f>
        <v>0</v>
      </c>
      <c r="L21" s="9"/>
      <c r="M21" s="9"/>
      <c r="N21" s="9"/>
      <c r="O21" s="9"/>
      <c r="P21" s="7" cm="1">
        <f t="array" ref="P21">M21-N21-O21</f>
        <v>0</v>
      </c>
      <c r="Q21" s="9"/>
      <c r="R21" s="9"/>
      <c r="S21" s="9"/>
      <c r="T21" s="9"/>
      <c r="U21" s="10" cm="1">
        <f t="array" ref="U21">R21-S21-T21</f>
        <v>0</v>
      </c>
      <c r="V21" s="26"/>
      <c r="W21" s="26"/>
    </row>
    <row r="22" spans="1:23" ht="15" customHeight="1" thickBot="1">
      <c r="A22" s="5">
        <v>46345</v>
      </c>
      <c r="B22" s="6"/>
      <c r="C22" s="6"/>
      <c r="D22" s="6"/>
      <c r="E22" s="6"/>
      <c r="F22" s="7" cm="1">
        <f t="array" ref="F22">C22-D22-E22</f>
        <v>0</v>
      </c>
      <c r="G22" s="8"/>
      <c r="H22" s="8"/>
      <c r="I22" s="8"/>
      <c r="J22" s="8"/>
      <c r="K22" s="7" cm="1">
        <f t="array" ref="K22">H22-I22-J22</f>
        <v>0</v>
      </c>
      <c r="L22" s="9"/>
      <c r="M22" s="9"/>
      <c r="N22" s="9"/>
      <c r="O22" s="9"/>
      <c r="P22" s="7" cm="1">
        <f t="array" ref="P22">M22-N22-O22</f>
        <v>0</v>
      </c>
      <c r="Q22" s="9"/>
      <c r="R22" s="9"/>
      <c r="S22" s="9"/>
      <c r="T22" s="9"/>
      <c r="U22" s="10" cm="1">
        <f t="array" ref="U22">R22-S22-T22</f>
        <v>0</v>
      </c>
      <c r="V22" s="26"/>
      <c r="W22" s="26"/>
    </row>
    <row r="23" spans="1:23" ht="15" customHeight="1" thickBot="1">
      <c r="A23" s="5">
        <v>46346</v>
      </c>
      <c r="B23" s="6"/>
      <c r="C23" s="6"/>
      <c r="D23" s="6"/>
      <c r="E23" s="6"/>
      <c r="F23" s="7" cm="1">
        <f t="array" ref="F23">C23-D23-E23</f>
        <v>0</v>
      </c>
      <c r="G23" s="8"/>
      <c r="H23" s="8"/>
      <c r="I23" s="8"/>
      <c r="J23" s="8"/>
      <c r="K23" s="7" cm="1">
        <f t="array" ref="K23">H23-I23-J23</f>
        <v>0</v>
      </c>
      <c r="L23" s="9"/>
      <c r="M23" s="9"/>
      <c r="N23" s="9"/>
      <c r="O23" s="9"/>
      <c r="P23" s="7" cm="1">
        <f t="array" ref="P23">M23-N23-O23</f>
        <v>0</v>
      </c>
      <c r="Q23" s="9"/>
      <c r="R23" s="9"/>
      <c r="S23" s="9"/>
      <c r="T23" s="9"/>
      <c r="U23" s="10" cm="1">
        <f t="array" ref="U23">R23-S23-T23</f>
        <v>0</v>
      </c>
      <c r="V23" s="26"/>
      <c r="W23" s="26"/>
    </row>
    <row r="24" spans="1:23" ht="15" customHeight="1" thickBot="1">
      <c r="A24" s="5">
        <v>46347</v>
      </c>
      <c r="B24" s="6"/>
      <c r="C24" s="6"/>
      <c r="D24" s="6"/>
      <c r="E24" s="6"/>
      <c r="F24" s="7" cm="1">
        <f t="array" ref="F24">C24-D24-E24</f>
        <v>0</v>
      </c>
      <c r="G24" s="8"/>
      <c r="H24" s="8"/>
      <c r="I24" s="8"/>
      <c r="J24" s="8"/>
      <c r="K24" s="7" cm="1">
        <f t="array" ref="K24">H24-I24-J24</f>
        <v>0</v>
      </c>
      <c r="L24" s="9"/>
      <c r="M24" s="9"/>
      <c r="N24" s="9"/>
      <c r="O24" s="9"/>
      <c r="P24" s="7" cm="1">
        <f t="array" ref="P24">M24-N24-O24</f>
        <v>0</v>
      </c>
      <c r="Q24" s="9"/>
      <c r="R24" s="9"/>
      <c r="S24" s="9"/>
      <c r="T24" s="9"/>
      <c r="U24" s="10" cm="1">
        <f t="array" ref="U24">R24-S24-T24</f>
        <v>0</v>
      </c>
      <c r="V24" s="26"/>
      <c r="W24" s="26"/>
    </row>
    <row r="25" spans="1:23" ht="15" customHeight="1" thickBot="1">
      <c r="A25" s="5">
        <v>46348</v>
      </c>
      <c r="B25" s="6"/>
      <c r="C25" s="6"/>
      <c r="D25" s="6"/>
      <c r="E25" s="6"/>
      <c r="F25" s="7" cm="1">
        <f t="array" ref="F25">C25-D25-E25</f>
        <v>0</v>
      </c>
      <c r="G25" s="8"/>
      <c r="H25" s="8"/>
      <c r="I25" s="8"/>
      <c r="J25" s="8"/>
      <c r="K25" s="7" cm="1">
        <f t="array" ref="K25">H25-I25-J25</f>
        <v>0</v>
      </c>
      <c r="L25" s="9"/>
      <c r="M25" s="9"/>
      <c r="N25" s="9"/>
      <c r="O25" s="9"/>
      <c r="P25" s="7" cm="1">
        <f t="array" ref="P25">M25-N25-O25</f>
        <v>0</v>
      </c>
      <c r="Q25" s="9"/>
      <c r="R25" s="9"/>
      <c r="S25" s="9"/>
      <c r="T25" s="9"/>
      <c r="U25" s="10" cm="1">
        <f t="array" ref="U25">R25-S25-T25</f>
        <v>0</v>
      </c>
      <c r="V25" s="26"/>
      <c r="W25" s="26"/>
    </row>
    <row r="26" spans="1:23" ht="15" customHeight="1" thickBot="1">
      <c r="A26" s="5">
        <v>46349</v>
      </c>
      <c r="B26" s="6"/>
      <c r="C26" s="6"/>
      <c r="D26" s="6"/>
      <c r="E26" s="6"/>
      <c r="F26" s="7" cm="1">
        <f t="array" ref="F26">C26-D26-E26</f>
        <v>0</v>
      </c>
      <c r="G26" s="8"/>
      <c r="H26" s="8"/>
      <c r="I26" s="8"/>
      <c r="J26" s="8"/>
      <c r="K26" s="7" cm="1">
        <f t="array" ref="K26">H26-I26-J26</f>
        <v>0</v>
      </c>
      <c r="L26" s="9"/>
      <c r="M26" s="9"/>
      <c r="N26" s="9"/>
      <c r="O26" s="9"/>
      <c r="P26" s="7" cm="1">
        <f t="array" ref="P26">M26-N26-O26</f>
        <v>0</v>
      </c>
      <c r="Q26" s="9"/>
      <c r="R26" s="9"/>
      <c r="S26" s="9"/>
      <c r="T26" s="9"/>
      <c r="U26" s="10" cm="1">
        <f t="array" ref="U26">R26-S26-T26</f>
        <v>0</v>
      </c>
      <c r="V26" s="26"/>
      <c r="W26" s="26"/>
    </row>
    <row r="27" spans="1:23" ht="15" customHeight="1" thickBot="1">
      <c r="A27" s="5">
        <v>46350</v>
      </c>
      <c r="B27" s="6"/>
      <c r="C27" s="6"/>
      <c r="D27" s="6"/>
      <c r="E27" s="6"/>
      <c r="F27" s="7" cm="1">
        <f t="array" ref="F27">C27-D27-E27</f>
        <v>0</v>
      </c>
      <c r="G27" s="8"/>
      <c r="H27" s="8"/>
      <c r="I27" s="8"/>
      <c r="J27" s="8"/>
      <c r="K27" s="7" cm="1">
        <f t="array" ref="K27">H27-I27-J27</f>
        <v>0</v>
      </c>
      <c r="L27" s="9"/>
      <c r="M27" s="9"/>
      <c r="N27" s="9"/>
      <c r="O27" s="9"/>
      <c r="P27" s="7" cm="1">
        <f t="array" ref="P27">M27-N27-O27</f>
        <v>0</v>
      </c>
      <c r="Q27" s="9"/>
      <c r="R27" s="9"/>
      <c r="S27" s="9"/>
      <c r="T27" s="9"/>
      <c r="U27" s="10" cm="1">
        <f t="array" ref="U27">R27-S27-T27</f>
        <v>0</v>
      </c>
      <c r="V27" s="26"/>
      <c r="W27" s="26"/>
    </row>
    <row r="28" spans="1:23" ht="15" customHeight="1" thickBot="1">
      <c r="A28" s="5">
        <v>46351</v>
      </c>
      <c r="B28" s="6"/>
      <c r="C28" s="6"/>
      <c r="D28" s="6"/>
      <c r="E28" s="6"/>
      <c r="F28" s="7" cm="1">
        <f t="array" ref="F28">C28-D28-E28</f>
        <v>0</v>
      </c>
      <c r="G28" s="8"/>
      <c r="H28" s="8"/>
      <c r="I28" s="8"/>
      <c r="J28" s="8"/>
      <c r="K28" s="7" cm="1">
        <f t="array" ref="K28">H28-I28-J28</f>
        <v>0</v>
      </c>
      <c r="L28" s="9"/>
      <c r="M28" s="9"/>
      <c r="N28" s="9"/>
      <c r="O28" s="9"/>
      <c r="P28" s="7" cm="1">
        <f t="array" ref="P28">M28-N28-O28</f>
        <v>0</v>
      </c>
      <c r="Q28" s="9"/>
      <c r="R28" s="9"/>
      <c r="S28" s="9"/>
      <c r="T28" s="9"/>
      <c r="U28" s="10" cm="1">
        <f t="array" ref="U28">R28-S28-T28</f>
        <v>0</v>
      </c>
      <c r="V28" s="26"/>
      <c r="W28" s="26"/>
    </row>
    <row r="29" spans="1:23" ht="15" customHeight="1" thickBot="1">
      <c r="A29" s="5">
        <v>46352</v>
      </c>
      <c r="B29" s="6"/>
      <c r="C29" s="6"/>
      <c r="D29" s="6"/>
      <c r="E29" s="6"/>
      <c r="F29" s="7" cm="1">
        <f t="array" ref="F29">C29-D29-E29</f>
        <v>0</v>
      </c>
      <c r="G29" s="8"/>
      <c r="H29" s="8"/>
      <c r="I29" s="8"/>
      <c r="J29" s="8"/>
      <c r="K29" s="7" cm="1">
        <f t="array" ref="K29">H29-I29-J29</f>
        <v>0</v>
      </c>
      <c r="L29" s="9"/>
      <c r="M29" s="9"/>
      <c r="N29" s="9"/>
      <c r="O29" s="9"/>
      <c r="P29" s="7" cm="1">
        <f t="array" ref="P29">M29-N29-O29</f>
        <v>0</v>
      </c>
      <c r="Q29" s="9"/>
      <c r="R29" s="9"/>
      <c r="S29" s="9"/>
      <c r="T29" s="9"/>
      <c r="U29" s="10" cm="1">
        <f t="array" ref="U29">R29-S29-T29</f>
        <v>0</v>
      </c>
      <c r="V29" s="26"/>
      <c r="W29" s="26"/>
    </row>
    <row r="30" spans="1:23" ht="15" customHeight="1" thickBot="1">
      <c r="A30" s="5">
        <v>46353</v>
      </c>
      <c r="B30" s="6"/>
      <c r="C30" s="6"/>
      <c r="D30" s="6"/>
      <c r="E30" s="6"/>
      <c r="F30" s="7" cm="1">
        <f t="array" ref="F30">C30-D30-E30</f>
        <v>0</v>
      </c>
      <c r="G30" s="8"/>
      <c r="H30" s="8"/>
      <c r="I30" s="8"/>
      <c r="J30" s="8"/>
      <c r="K30" s="7" cm="1">
        <f t="array" ref="K30">H30-I30-J30</f>
        <v>0</v>
      </c>
      <c r="L30" s="9"/>
      <c r="M30" s="9"/>
      <c r="N30" s="9"/>
      <c r="O30" s="9"/>
      <c r="P30" s="7" cm="1">
        <f t="array" ref="P30">M30-N30-O30</f>
        <v>0</v>
      </c>
      <c r="Q30" s="9"/>
      <c r="R30" s="9"/>
      <c r="S30" s="9"/>
      <c r="T30" s="9"/>
      <c r="U30" s="10" cm="1">
        <f t="array" ref="U30">R30-S30-T30</f>
        <v>0</v>
      </c>
      <c r="V30" s="26"/>
      <c r="W30" s="26"/>
    </row>
    <row r="31" spans="1:23" ht="15" customHeight="1" thickBot="1">
      <c r="A31" s="5">
        <v>46354</v>
      </c>
      <c r="B31" s="6"/>
      <c r="C31" s="6"/>
      <c r="D31" s="6"/>
      <c r="E31" s="6"/>
      <c r="F31" s="7" cm="1">
        <f t="array" ref="F31">C31-D31-E31</f>
        <v>0</v>
      </c>
      <c r="G31" s="8"/>
      <c r="H31" s="8"/>
      <c r="I31" s="8"/>
      <c r="J31" s="8"/>
      <c r="K31" s="7" cm="1">
        <f t="array" ref="K31">H31-I31-J31</f>
        <v>0</v>
      </c>
      <c r="L31" s="9"/>
      <c r="M31" s="9"/>
      <c r="N31" s="9"/>
      <c r="O31" s="9"/>
      <c r="P31" s="7" cm="1">
        <f t="array" ref="P31">M31-N31-O31</f>
        <v>0</v>
      </c>
      <c r="Q31" s="9"/>
      <c r="R31" s="9"/>
      <c r="S31" s="9"/>
      <c r="T31" s="9"/>
      <c r="U31" s="10" cm="1">
        <f t="array" ref="U31">R31-S31-T31</f>
        <v>0</v>
      </c>
      <c r="V31" s="26"/>
      <c r="W31" s="26"/>
    </row>
    <row r="32" spans="1:23" ht="15" customHeight="1" thickBot="1">
      <c r="A32" s="5">
        <v>46355</v>
      </c>
      <c r="B32" s="6"/>
      <c r="C32" s="6"/>
      <c r="D32" s="6"/>
      <c r="E32" s="6"/>
      <c r="F32" s="7" cm="1">
        <f t="array" ref="F32">C32-D32-E32</f>
        <v>0</v>
      </c>
      <c r="G32" s="8"/>
      <c r="H32" s="8"/>
      <c r="I32" s="8"/>
      <c r="J32" s="8"/>
      <c r="K32" s="7" cm="1">
        <f t="array" ref="K32">H32-I32-J32</f>
        <v>0</v>
      </c>
      <c r="L32" s="9"/>
      <c r="M32" s="9"/>
      <c r="N32" s="9"/>
      <c r="O32" s="9"/>
      <c r="P32" s="7" cm="1">
        <f t="array" ref="P32">M32-N32-O32</f>
        <v>0</v>
      </c>
      <c r="Q32" s="9"/>
      <c r="R32" s="9"/>
      <c r="S32" s="9"/>
      <c r="T32" s="9"/>
      <c r="U32" s="10" cm="1">
        <f t="array" ref="U32">R32-S32-T32</f>
        <v>0</v>
      </c>
      <c r="V32" s="26"/>
      <c r="W32" s="26"/>
    </row>
    <row r="33" spans="1:23" ht="15" customHeight="1" thickBot="1">
      <c r="A33" s="5">
        <v>46356</v>
      </c>
      <c r="B33" s="6"/>
      <c r="C33" s="6"/>
      <c r="D33" s="6"/>
      <c r="E33" s="6"/>
      <c r="F33" s="7">
        <v>0</v>
      </c>
      <c r="G33" s="8"/>
      <c r="H33" s="8"/>
      <c r="I33" s="8"/>
      <c r="J33" s="8"/>
      <c r="K33" s="7" cm="1">
        <f t="array" ref="K33">H33-I33-J33</f>
        <v>0</v>
      </c>
      <c r="L33" s="9"/>
      <c r="M33" s="9"/>
      <c r="N33" s="9"/>
      <c r="O33" s="9"/>
      <c r="P33" s="7" cm="1">
        <f t="array" ref="P33">M33-N33-O33</f>
        <v>0</v>
      </c>
      <c r="Q33" s="9"/>
      <c r="R33" s="9"/>
      <c r="S33" s="9"/>
      <c r="T33" s="9"/>
      <c r="U33" s="10" cm="1">
        <f t="array" ref="U33">R33-S33-T33</f>
        <v>0</v>
      </c>
      <c r="V33" s="26"/>
      <c r="W33" s="26"/>
    </row>
    <row r="34" spans="1:23" ht="15" customHeight="1" thickBot="1">
      <c r="A34" s="12" t="s">
        <v>12</v>
      </c>
      <c r="B34" s="13">
        <v>1134100</v>
      </c>
      <c r="C34" s="13" cm="1">
        <f t="array" ref="C34">SUM(C4:C33)</f>
        <v>0</v>
      </c>
      <c r="D34" s="13" cm="1">
        <f t="array" ref="D34">SUM(D4:D33)</f>
        <v>0</v>
      </c>
      <c r="E34" s="13" cm="1">
        <f t="array" ref="E34">SUM(E4:E33)</f>
        <v>0</v>
      </c>
      <c r="F34" s="14" cm="1">
        <f t="array" ref="F34">C34-D34-E34</f>
        <v>0</v>
      </c>
      <c r="G34" s="15">
        <v>1517550</v>
      </c>
      <c r="H34" s="15" cm="1">
        <f t="array" ref="H34">SUM(H4:H33)</f>
        <v>0</v>
      </c>
      <c r="I34" s="15" cm="1">
        <f t="array" ref="I34">SUM(I4:I33)</f>
        <v>0</v>
      </c>
      <c r="J34" s="15" cm="1">
        <f t="array" ref="J34">SUM(J4:J33)</f>
        <v>0</v>
      </c>
      <c r="K34" s="14" cm="1">
        <f t="array" ref="K34">H34-I34-J34</f>
        <v>0</v>
      </c>
      <c r="L34" s="16">
        <v>982800</v>
      </c>
      <c r="M34" s="16" cm="1">
        <f t="array" ref="M34">SUM(M4:M33)</f>
        <v>0</v>
      </c>
      <c r="N34" s="16" cm="1">
        <f t="array" ref="N34">SUM(N4:N33)</f>
        <v>0</v>
      </c>
      <c r="O34" s="16" cm="1">
        <f t="array" ref="O34">SUM(O4:O33)</f>
        <v>0</v>
      </c>
      <c r="P34" s="14" cm="1">
        <f t="array" ref="P34">M34-N34-O34</f>
        <v>0</v>
      </c>
      <c r="Q34" s="16"/>
      <c r="R34" s="16">
        <f>SUM(R4:R33)</f>
        <v>0</v>
      </c>
      <c r="S34" s="16" cm="1">
        <f t="array" ref="S34">SUM(S4:S33)</f>
        <v>0</v>
      </c>
      <c r="T34" s="16" cm="1">
        <f t="array" ref="T34">SUM(T4:T33)</f>
        <v>0</v>
      </c>
      <c r="U34" s="17" cm="1">
        <f t="array" ref="U34">R34-S34-T34</f>
        <v>0</v>
      </c>
      <c r="V34" s="26" cm="1">
        <f t="array" ref="V34">SUM(F34,K34,P34)</f>
        <v>0</v>
      </c>
      <c r="W34" s="26">
        <v>31500</v>
      </c>
    </row>
  </sheetData>
  <mergeCells count="23">
    <mergeCell ref="A1:A3"/>
    <mergeCell ref="B1:F1"/>
    <mergeCell ref="G1:K1"/>
    <mergeCell ref="L1:P1"/>
    <mergeCell ref="V1:V3"/>
    <mergeCell ref="N2:O2"/>
    <mergeCell ref="P2:P3"/>
    <mergeCell ref="G2:G3"/>
    <mergeCell ref="H2:H3"/>
    <mergeCell ref="I2:J2"/>
    <mergeCell ref="K2:K3"/>
    <mergeCell ref="L2:L3"/>
    <mergeCell ref="M2:M3"/>
    <mergeCell ref="Q1:U1"/>
    <mergeCell ref="Q2:Q3"/>
    <mergeCell ref="R2:R3"/>
    <mergeCell ref="W1:W3"/>
    <mergeCell ref="B2:B3"/>
    <mergeCell ref="C2:C3"/>
    <mergeCell ref="D2:E2"/>
    <mergeCell ref="F2:F3"/>
    <mergeCell ref="S2:T2"/>
    <mergeCell ref="U2:U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35"/>
  <sheetViews>
    <sheetView showGridLines="0" tabSelected="1" topLeftCell="D1" workbookViewId="0">
      <selection activeCell="Q45" sqref="Q45"/>
    </sheetView>
  </sheetViews>
  <sheetFormatPr defaultColWidth="8.88671875" defaultRowHeight="14.4" customHeight="1"/>
  <cols>
    <col min="1" max="1" width="32" style="32" customWidth="1"/>
    <col min="2" max="2" width="17.44140625" style="32" customWidth="1"/>
    <col min="3" max="3" width="20.88671875" style="32" customWidth="1"/>
    <col min="4" max="4" width="16.6640625" style="32" customWidth="1"/>
    <col min="5" max="5" width="19" style="32" customWidth="1"/>
    <col min="6" max="6" width="16.21875" style="32" customWidth="1"/>
    <col min="7" max="7" width="16.33203125" style="32" customWidth="1"/>
    <col min="8" max="8" width="18.21875" style="32" customWidth="1"/>
    <col min="9" max="9" width="16.88671875" style="32" customWidth="1"/>
    <col min="10" max="10" width="14.6640625" style="32" customWidth="1"/>
    <col min="11" max="11" width="15" style="32" customWidth="1"/>
    <col min="12" max="12" width="14.44140625" style="32" customWidth="1"/>
    <col min="13" max="13" width="15.21875" style="32" customWidth="1"/>
    <col min="14" max="14" width="14.44140625" style="32" customWidth="1"/>
    <col min="15" max="15" width="12.44140625" style="32" customWidth="1"/>
    <col min="16" max="16" width="12.88671875" style="32" customWidth="1"/>
    <col min="17" max="17" width="20.21875" customWidth="1"/>
    <col min="18" max="18" width="14.77734375" customWidth="1"/>
    <col min="19" max="19" width="13.77734375" style="32" customWidth="1"/>
    <col min="20" max="20" width="11.44140625" style="32" customWidth="1"/>
    <col min="21" max="21" width="13.44140625" style="32" customWidth="1"/>
    <col min="22" max="22" width="16.44140625" style="32" customWidth="1"/>
    <col min="23" max="23" width="15.88671875" style="32" customWidth="1"/>
    <col min="24" max="16384" width="8.88671875" style="32"/>
  </cols>
  <sheetData>
    <row r="1" spans="1:23" ht="15" customHeight="1" thickBot="1">
      <c r="A1" s="47" t="s">
        <v>0</v>
      </c>
      <c r="B1" s="51" t="s">
        <v>1</v>
      </c>
      <c r="C1" s="52"/>
      <c r="D1" s="52"/>
      <c r="E1" s="52"/>
      <c r="F1" s="53"/>
      <c r="G1" s="60" t="s">
        <v>2</v>
      </c>
      <c r="H1" s="66"/>
      <c r="I1" s="66"/>
      <c r="J1" s="66"/>
      <c r="K1" s="61"/>
      <c r="L1" s="39" t="s">
        <v>3</v>
      </c>
      <c r="M1" s="65"/>
      <c r="N1" s="65"/>
      <c r="O1" s="65"/>
      <c r="P1" s="40"/>
      <c r="Q1" s="39" t="s">
        <v>14</v>
      </c>
      <c r="R1" s="65"/>
      <c r="S1" s="65"/>
      <c r="T1" s="65"/>
      <c r="U1" s="40"/>
      <c r="V1" s="44" t="s">
        <v>4</v>
      </c>
      <c r="W1" s="41" t="s">
        <v>5</v>
      </c>
    </row>
    <row r="2" spans="1:23" ht="15" customHeight="1" thickBot="1">
      <c r="A2" s="48"/>
      <c r="B2" s="49" t="s">
        <v>6</v>
      </c>
      <c r="C2" s="54" t="s">
        <v>7</v>
      </c>
      <c r="D2" s="51" t="s">
        <v>8</v>
      </c>
      <c r="E2" s="53"/>
      <c r="F2" s="33" t="s">
        <v>9</v>
      </c>
      <c r="G2" s="56" t="s">
        <v>6</v>
      </c>
      <c r="H2" s="58" t="s">
        <v>7</v>
      </c>
      <c r="I2" s="60" t="s">
        <v>8</v>
      </c>
      <c r="J2" s="61"/>
      <c r="K2" s="33" t="s">
        <v>9</v>
      </c>
      <c r="L2" s="35" t="s">
        <v>6</v>
      </c>
      <c r="M2" s="37" t="s">
        <v>7</v>
      </c>
      <c r="N2" s="39" t="s">
        <v>8</v>
      </c>
      <c r="O2" s="40"/>
      <c r="P2" s="33" t="s">
        <v>9</v>
      </c>
      <c r="Q2" s="35" t="s">
        <v>6</v>
      </c>
      <c r="R2" s="37" t="s">
        <v>7</v>
      </c>
      <c r="S2" s="39" t="s">
        <v>8</v>
      </c>
      <c r="T2" s="40"/>
      <c r="U2" s="33" t="s">
        <v>9</v>
      </c>
      <c r="V2" s="45"/>
      <c r="W2" s="42"/>
    </row>
    <row r="3" spans="1:23" ht="33.6" customHeight="1" thickBot="1">
      <c r="A3" s="48"/>
      <c r="B3" s="50"/>
      <c r="C3" s="55"/>
      <c r="D3" s="2" t="s">
        <v>10</v>
      </c>
      <c r="E3" s="2" t="s">
        <v>11</v>
      </c>
      <c r="F3" s="34"/>
      <c r="G3" s="57"/>
      <c r="H3" s="59"/>
      <c r="I3" s="3" t="s">
        <v>10</v>
      </c>
      <c r="J3" s="3" t="s">
        <v>11</v>
      </c>
      <c r="K3" s="34"/>
      <c r="L3" s="36"/>
      <c r="M3" s="38"/>
      <c r="N3" s="4" t="s">
        <v>10</v>
      </c>
      <c r="O3" s="4" t="s">
        <v>11</v>
      </c>
      <c r="P3" s="34"/>
      <c r="Q3" s="36"/>
      <c r="R3" s="38"/>
      <c r="S3" s="4" t="s">
        <v>10</v>
      </c>
      <c r="T3" s="4" t="s">
        <v>11</v>
      </c>
      <c r="U3" s="34"/>
      <c r="V3" s="46"/>
      <c r="W3" s="43"/>
    </row>
    <row r="4" spans="1:23" ht="15" customHeight="1" thickBot="1">
      <c r="A4" s="5">
        <v>46357</v>
      </c>
      <c r="B4" s="6"/>
      <c r="C4" s="6"/>
      <c r="D4" s="6"/>
      <c r="E4" s="6"/>
      <c r="F4" s="7" cm="1">
        <f t="array" ref="F4">C4-D4-E4</f>
        <v>0</v>
      </c>
      <c r="G4" s="8"/>
      <c r="H4" s="8"/>
      <c r="I4" s="8"/>
      <c r="J4" s="8"/>
      <c r="K4" s="7" cm="1">
        <f t="array" ref="K4">H4-I4-J4</f>
        <v>0</v>
      </c>
      <c r="L4" s="9"/>
      <c r="M4" s="9"/>
      <c r="N4" s="9"/>
      <c r="O4" s="9"/>
      <c r="P4" s="10" cm="1">
        <f t="array" ref="P4">M4-N4-O4</f>
        <v>0</v>
      </c>
      <c r="Q4" s="9"/>
      <c r="R4" s="9"/>
      <c r="S4" s="9"/>
      <c r="T4" s="9"/>
      <c r="U4" s="10" cm="1">
        <f t="array" ref="U4">R4-S4-T4</f>
        <v>0</v>
      </c>
      <c r="V4" s="11"/>
      <c r="W4" s="11"/>
    </row>
    <row r="5" spans="1:23" ht="15" customHeight="1" thickBot="1">
      <c r="A5" s="5">
        <v>46358</v>
      </c>
      <c r="B5" s="6"/>
      <c r="C5" s="6"/>
      <c r="D5" s="6"/>
      <c r="E5" s="6"/>
      <c r="F5" s="7" cm="1">
        <f t="array" ref="F5">C5-D5-E5</f>
        <v>0</v>
      </c>
      <c r="G5" s="8"/>
      <c r="H5" s="8"/>
      <c r="I5" s="8"/>
      <c r="J5" s="8"/>
      <c r="K5" s="7" cm="1">
        <f t="array" ref="K5">H5-I5-J5</f>
        <v>0</v>
      </c>
      <c r="L5" s="9"/>
      <c r="M5" s="9"/>
      <c r="N5" s="9"/>
      <c r="O5" s="9"/>
      <c r="P5" s="10" cm="1">
        <f t="array" ref="P5">M5-N5-O5</f>
        <v>0</v>
      </c>
      <c r="Q5" s="9"/>
      <c r="R5" s="9"/>
      <c r="S5" s="9"/>
      <c r="T5" s="9"/>
      <c r="U5" s="10" cm="1">
        <f t="array" ref="U5">R5-S5-T5</f>
        <v>0</v>
      </c>
      <c r="V5" s="11"/>
      <c r="W5" s="11"/>
    </row>
    <row r="6" spans="1:23" ht="15" customHeight="1" thickBot="1">
      <c r="A6" s="5">
        <v>46359</v>
      </c>
      <c r="B6" s="6"/>
      <c r="C6" s="6"/>
      <c r="D6" s="6"/>
      <c r="E6" s="6"/>
      <c r="F6" s="7" cm="1">
        <f t="array" ref="F6">C6-D6-E6</f>
        <v>0</v>
      </c>
      <c r="G6" s="8"/>
      <c r="H6" s="8"/>
      <c r="I6" s="8"/>
      <c r="J6" s="8"/>
      <c r="K6" s="7" cm="1">
        <f t="array" ref="K6">H6-I6-J6</f>
        <v>0</v>
      </c>
      <c r="L6" s="9"/>
      <c r="M6" s="9"/>
      <c r="N6" s="9"/>
      <c r="O6" s="9"/>
      <c r="P6" s="10" cm="1">
        <f t="array" ref="P6">M6-N6-O6</f>
        <v>0</v>
      </c>
      <c r="Q6" s="9"/>
      <c r="R6" s="9"/>
      <c r="S6" s="9"/>
      <c r="T6" s="9"/>
      <c r="U6" s="10" cm="1">
        <f t="array" ref="U6">R6-S6-T6</f>
        <v>0</v>
      </c>
      <c r="V6" s="11"/>
      <c r="W6" s="11"/>
    </row>
    <row r="7" spans="1:23" ht="15" customHeight="1" thickBot="1">
      <c r="A7" s="5">
        <v>46360</v>
      </c>
      <c r="B7" s="6"/>
      <c r="C7" s="6"/>
      <c r="D7" s="6"/>
      <c r="E7" s="6"/>
      <c r="F7" s="7" cm="1">
        <f t="array" ref="F7">C7-D7-E7</f>
        <v>0</v>
      </c>
      <c r="G7" s="8"/>
      <c r="H7" s="8"/>
      <c r="I7" s="8"/>
      <c r="J7" s="8"/>
      <c r="K7" s="7" cm="1">
        <f t="array" ref="K7">H7-I7-J7</f>
        <v>0</v>
      </c>
      <c r="L7" s="9"/>
      <c r="M7" s="9"/>
      <c r="N7" s="9"/>
      <c r="O7" s="9"/>
      <c r="P7" s="10" cm="1">
        <f t="array" ref="P7">M7-N7-O7</f>
        <v>0</v>
      </c>
      <c r="Q7" s="9"/>
      <c r="R7" s="9"/>
      <c r="S7" s="9"/>
      <c r="T7" s="9"/>
      <c r="U7" s="10" cm="1">
        <f t="array" ref="U7">R7-S7-T7</f>
        <v>0</v>
      </c>
      <c r="V7" s="11"/>
      <c r="W7" s="11"/>
    </row>
    <row r="8" spans="1:23" ht="15" customHeight="1" thickBot="1">
      <c r="A8" s="5">
        <v>46361</v>
      </c>
      <c r="B8" s="6"/>
      <c r="C8" s="6"/>
      <c r="D8" s="6"/>
      <c r="E8" s="6"/>
      <c r="F8" s="7" cm="1">
        <f t="array" ref="F8">C8-D8-E8</f>
        <v>0</v>
      </c>
      <c r="G8" s="8"/>
      <c r="H8" s="8"/>
      <c r="I8" s="8"/>
      <c r="J8" s="8"/>
      <c r="K8" s="7" cm="1">
        <f t="array" ref="K8">H8-I8-J8</f>
        <v>0</v>
      </c>
      <c r="L8" s="9"/>
      <c r="M8" s="9"/>
      <c r="N8" s="9"/>
      <c r="O8" s="9"/>
      <c r="P8" s="10" cm="1">
        <f t="array" ref="P8">M8-N8-O8</f>
        <v>0</v>
      </c>
      <c r="Q8" s="9"/>
      <c r="R8" s="9"/>
      <c r="S8" s="9"/>
      <c r="T8" s="9"/>
      <c r="U8" s="10" cm="1">
        <f t="array" ref="U8">R8-S8-T8</f>
        <v>0</v>
      </c>
      <c r="V8" s="11"/>
      <c r="W8" s="11"/>
    </row>
    <row r="9" spans="1:23" ht="15" customHeight="1" thickBot="1">
      <c r="A9" s="5">
        <v>46362</v>
      </c>
      <c r="B9" s="6"/>
      <c r="C9" s="6"/>
      <c r="D9" s="6"/>
      <c r="E9" s="6"/>
      <c r="F9" s="7" cm="1">
        <f t="array" ref="F9">C9-D9-E9</f>
        <v>0</v>
      </c>
      <c r="G9" s="8"/>
      <c r="H9" s="8"/>
      <c r="I9" s="8"/>
      <c r="J9" s="8"/>
      <c r="K9" s="7" cm="1">
        <f t="array" ref="K9">H9-I9-J9</f>
        <v>0</v>
      </c>
      <c r="L9" s="9"/>
      <c r="M9" s="9"/>
      <c r="N9" s="9"/>
      <c r="O9" s="9"/>
      <c r="P9" s="10" cm="1">
        <f t="array" ref="P9">M9-N9-O9</f>
        <v>0</v>
      </c>
      <c r="Q9" s="9"/>
      <c r="R9" s="9"/>
      <c r="S9" s="9"/>
      <c r="T9" s="9"/>
      <c r="U9" s="10" cm="1">
        <f t="array" ref="U9">R9-S9-T9</f>
        <v>0</v>
      </c>
      <c r="V9" s="11"/>
      <c r="W9" s="11"/>
    </row>
    <row r="10" spans="1:23" ht="15" customHeight="1" thickBot="1">
      <c r="A10" s="5">
        <v>46363</v>
      </c>
      <c r="B10" s="6"/>
      <c r="C10" s="6"/>
      <c r="D10" s="6"/>
      <c r="E10" s="6"/>
      <c r="F10" s="7" cm="1">
        <f t="array" ref="F10">C10-D10-E10</f>
        <v>0</v>
      </c>
      <c r="G10" s="8"/>
      <c r="H10" s="8"/>
      <c r="I10" s="8"/>
      <c r="J10" s="8"/>
      <c r="K10" s="7" cm="1">
        <f t="array" ref="K10">H10-I10-J10</f>
        <v>0</v>
      </c>
      <c r="L10" s="9"/>
      <c r="M10" s="9"/>
      <c r="N10" s="9"/>
      <c r="O10" s="9"/>
      <c r="P10" s="10" cm="1">
        <f t="array" ref="P10">M10-N10-O10</f>
        <v>0</v>
      </c>
      <c r="Q10" s="9"/>
      <c r="R10" s="9"/>
      <c r="S10" s="9"/>
      <c r="T10" s="9"/>
      <c r="U10" s="10" cm="1">
        <f t="array" ref="U10">R10-S10-T10</f>
        <v>0</v>
      </c>
      <c r="V10" s="11"/>
      <c r="W10" s="11"/>
    </row>
    <row r="11" spans="1:23" ht="15" customHeight="1" thickBot="1">
      <c r="A11" s="5">
        <v>46364</v>
      </c>
      <c r="B11" s="6"/>
      <c r="C11" s="6"/>
      <c r="D11" s="6"/>
      <c r="E11" s="6"/>
      <c r="F11" s="7" cm="1">
        <f t="array" ref="F11">C11-D11-E11</f>
        <v>0</v>
      </c>
      <c r="G11" s="8"/>
      <c r="H11" s="8"/>
      <c r="I11" s="8"/>
      <c r="J11" s="8"/>
      <c r="K11" s="7" cm="1">
        <f t="array" ref="K11">H11-I11-J11</f>
        <v>0</v>
      </c>
      <c r="L11" s="9"/>
      <c r="M11" s="9"/>
      <c r="N11" s="9"/>
      <c r="O11" s="9"/>
      <c r="P11" s="10" cm="1">
        <f t="array" ref="P11">M11-N11-O11</f>
        <v>0</v>
      </c>
      <c r="Q11" s="9"/>
      <c r="R11" s="9"/>
      <c r="S11" s="9"/>
      <c r="T11" s="9"/>
      <c r="U11" s="10" cm="1">
        <f t="array" ref="U11">R11-S11-T11</f>
        <v>0</v>
      </c>
      <c r="V11" s="11"/>
      <c r="W11" s="11"/>
    </row>
    <row r="12" spans="1:23" ht="15" customHeight="1" thickBot="1">
      <c r="A12" s="5">
        <v>46365</v>
      </c>
      <c r="B12" s="6"/>
      <c r="C12" s="6"/>
      <c r="D12" s="6"/>
      <c r="E12" s="6"/>
      <c r="F12" s="7" cm="1">
        <f t="array" ref="F12">C12-D12-E12</f>
        <v>0</v>
      </c>
      <c r="G12" s="8"/>
      <c r="H12" s="8"/>
      <c r="I12" s="8"/>
      <c r="J12" s="8"/>
      <c r="K12" s="7" cm="1">
        <f t="array" ref="K12">H12-I12-J12</f>
        <v>0</v>
      </c>
      <c r="L12" s="9"/>
      <c r="M12" s="9"/>
      <c r="N12" s="9"/>
      <c r="O12" s="9"/>
      <c r="P12" s="10" cm="1">
        <f t="array" ref="P12">M12-N12-O12</f>
        <v>0</v>
      </c>
      <c r="Q12" s="9"/>
      <c r="R12" s="9"/>
      <c r="S12" s="9"/>
      <c r="T12" s="9"/>
      <c r="U12" s="10" cm="1">
        <f t="array" ref="U12">R12-S12-T12</f>
        <v>0</v>
      </c>
      <c r="V12" s="11"/>
      <c r="W12" s="11"/>
    </row>
    <row r="13" spans="1:23" ht="15" customHeight="1" thickBot="1">
      <c r="A13" s="5">
        <v>46366</v>
      </c>
      <c r="B13" s="6"/>
      <c r="C13" s="6"/>
      <c r="D13" s="6"/>
      <c r="E13" s="6"/>
      <c r="F13" s="7" cm="1">
        <f t="array" ref="F13">C13-D13-E13</f>
        <v>0</v>
      </c>
      <c r="G13" s="8"/>
      <c r="H13" s="8"/>
      <c r="I13" s="8"/>
      <c r="J13" s="8"/>
      <c r="K13" s="7" cm="1">
        <f t="array" ref="K13">H13-I13-J13</f>
        <v>0</v>
      </c>
      <c r="L13" s="9"/>
      <c r="M13" s="9"/>
      <c r="N13" s="9"/>
      <c r="O13" s="9"/>
      <c r="P13" s="10" cm="1">
        <f t="array" ref="P13">M13-N13-O13</f>
        <v>0</v>
      </c>
      <c r="Q13" s="9"/>
      <c r="R13" s="9"/>
      <c r="S13" s="9"/>
      <c r="T13" s="9"/>
      <c r="U13" s="10" cm="1">
        <f t="array" ref="U13">R13-S13-T13</f>
        <v>0</v>
      </c>
      <c r="V13" s="11"/>
      <c r="W13" s="11"/>
    </row>
    <row r="14" spans="1:23" ht="15" customHeight="1" thickBot="1">
      <c r="A14" s="5">
        <v>46367</v>
      </c>
      <c r="B14" s="6"/>
      <c r="C14" s="6"/>
      <c r="D14" s="6"/>
      <c r="E14" s="6"/>
      <c r="F14" s="7" cm="1">
        <f t="array" ref="F14">C14-D14-E14</f>
        <v>0</v>
      </c>
      <c r="G14" s="8"/>
      <c r="H14" s="8"/>
      <c r="I14" s="8"/>
      <c r="J14" s="8"/>
      <c r="K14" s="7" cm="1">
        <f t="array" ref="K14">H14-I14-J14</f>
        <v>0</v>
      </c>
      <c r="L14" s="9"/>
      <c r="M14" s="9"/>
      <c r="N14" s="9"/>
      <c r="O14" s="9"/>
      <c r="P14" s="10" cm="1">
        <f t="array" ref="P14">M14-N14-O14</f>
        <v>0</v>
      </c>
      <c r="Q14" s="9"/>
      <c r="R14" s="9"/>
      <c r="S14" s="9"/>
      <c r="T14" s="9"/>
      <c r="U14" s="10" cm="1">
        <f t="array" ref="U14">R14-S14-T14</f>
        <v>0</v>
      </c>
      <c r="V14" s="11"/>
      <c r="W14" s="11"/>
    </row>
    <row r="15" spans="1:23" ht="15" customHeight="1" thickBot="1">
      <c r="A15" s="5">
        <v>46368</v>
      </c>
      <c r="B15" s="6"/>
      <c r="C15" s="6"/>
      <c r="D15" s="6"/>
      <c r="E15" s="6"/>
      <c r="F15" s="7" cm="1">
        <f t="array" ref="F15">C15-D15-E15</f>
        <v>0</v>
      </c>
      <c r="G15" s="8"/>
      <c r="H15" s="8"/>
      <c r="I15" s="8"/>
      <c r="J15" s="8"/>
      <c r="K15" s="7" cm="1">
        <f t="array" ref="K15">H15-I15-J15</f>
        <v>0</v>
      </c>
      <c r="L15" s="9"/>
      <c r="M15" s="9"/>
      <c r="N15" s="9"/>
      <c r="O15" s="9"/>
      <c r="P15" s="10" cm="1">
        <f t="array" ref="P15">M15-N15-O15</f>
        <v>0</v>
      </c>
      <c r="Q15" s="9"/>
      <c r="R15" s="9"/>
      <c r="S15" s="9"/>
      <c r="T15" s="9"/>
      <c r="U15" s="10" cm="1">
        <f t="array" ref="U15">R15-S15-T15</f>
        <v>0</v>
      </c>
      <c r="V15" s="11"/>
      <c r="W15" s="11"/>
    </row>
    <row r="16" spans="1:23" ht="15" customHeight="1" thickBot="1">
      <c r="A16" s="5">
        <v>46369</v>
      </c>
      <c r="B16" s="6"/>
      <c r="C16" s="6"/>
      <c r="D16" s="6"/>
      <c r="E16" s="6"/>
      <c r="F16" s="7" cm="1">
        <f t="array" ref="F16">C16-D16-E16</f>
        <v>0</v>
      </c>
      <c r="G16" s="8"/>
      <c r="H16" s="8"/>
      <c r="I16" s="8"/>
      <c r="J16" s="8"/>
      <c r="K16" s="7" cm="1">
        <f t="array" ref="K16">H16-I16-J16</f>
        <v>0</v>
      </c>
      <c r="L16" s="9"/>
      <c r="M16" s="9"/>
      <c r="N16" s="9"/>
      <c r="O16" s="9"/>
      <c r="P16" s="10" cm="1">
        <f t="array" ref="P16">M16-N16-O16</f>
        <v>0</v>
      </c>
      <c r="Q16" s="9"/>
      <c r="R16" s="9"/>
      <c r="S16" s="9"/>
      <c r="T16" s="9"/>
      <c r="U16" s="10" cm="1">
        <f t="array" ref="U16">R16-S16-T16</f>
        <v>0</v>
      </c>
      <c r="V16" s="11"/>
      <c r="W16" s="11"/>
    </row>
    <row r="17" spans="1:23" ht="15" customHeight="1" thickBot="1">
      <c r="A17" s="5">
        <v>46370</v>
      </c>
      <c r="B17" s="6"/>
      <c r="C17" s="6"/>
      <c r="D17" s="6"/>
      <c r="E17" s="6"/>
      <c r="F17" s="7" cm="1">
        <f t="array" ref="F17">C17-D17-E17</f>
        <v>0</v>
      </c>
      <c r="G17" s="8"/>
      <c r="H17" s="8"/>
      <c r="I17" s="8"/>
      <c r="J17" s="8"/>
      <c r="K17" s="7" cm="1">
        <f t="array" ref="K17">H17-I17-J17</f>
        <v>0</v>
      </c>
      <c r="L17" s="9"/>
      <c r="M17" s="9"/>
      <c r="N17" s="9"/>
      <c r="O17" s="9"/>
      <c r="P17" s="10" cm="1">
        <f t="array" ref="P17">M17-N17-O17</f>
        <v>0</v>
      </c>
      <c r="Q17" s="9"/>
      <c r="R17" s="9"/>
      <c r="S17" s="9"/>
      <c r="T17" s="9"/>
      <c r="U17" s="10" cm="1">
        <f t="array" ref="U17">R17-S17-T17</f>
        <v>0</v>
      </c>
      <c r="V17" s="11"/>
      <c r="W17" s="11"/>
    </row>
    <row r="18" spans="1:23" ht="15" customHeight="1" thickBot="1">
      <c r="A18" s="5">
        <v>46371</v>
      </c>
      <c r="B18" s="6"/>
      <c r="C18" s="6"/>
      <c r="D18" s="6"/>
      <c r="E18" s="6"/>
      <c r="F18" s="7" cm="1">
        <f t="array" ref="F18">C18-D18-E18</f>
        <v>0</v>
      </c>
      <c r="G18" s="8"/>
      <c r="H18" s="8"/>
      <c r="I18" s="8"/>
      <c r="J18" s="8"/>
      <c r="K18" s="7" cm="1">
        <f t="array" ref="K18">H18-I18-J18</f>
        <v>0</v>
      </c>
      <c r="L18" s="9"/>
      <c r="M18" s="9"/>
      <c r="N18" s="9"/>
      <c r="O18" s="9"/>
      <c r="P18" s="10" cm="1">
        <f t="array" ref="P18">M18-N18-O18</f>
        <v>0</v>
      </c>
      <c r="Q18" s="9"/>
      <c r="R18" s="9"/>
      <c r="S18" s="9"/>
      <c r="T18" s="9"/>
      <c r="U18" s="10" cm="1">
        <f t="array" ref="U18">R18-S18-T18</f>
        <v>0</v>
      </c>
      <c r="V18" s="11"/>
      <c r="W18" s="11"/>
    </row>
    <row r="19" spans="1:23" ht="15" customHeight="1" thickBot="1">
      <c r="A19" s="5">
        <v>46372</v>
      </c>
      <c r="B19" s="6"/>
      <c r="C19" s="6"/>
      <c r="D19" s="6"/>
      <c r="E19" s="6"/>
      <c r="F19" s="7" cm="1">
        <f t="array" ref="F19">C19-D19-E19</f>
        <v>0</v>
      </c>
      <c r="G19" s="8"/>
      <c r="H19" s="8"/>
      <c r="I19" s="8"/>
      <c r="J19" s="8"/>
      <c r="K19" s="7" cm="1">
        <f t="array" ref="K19">H19-I19-J19</f>
        <v>0</v>
      </c>
      <c r="L19" s="9"/>
      <c r="M19" s="9"/>
      <c r="N19" s="9"/>
      <c r="O19" s="9"/>
      <c r="P19" s="10" cm="1">
        <f t="array" ref="P19">M19-N19-O19</f>
        <v>0</v>
      </c>
      <c r="Q19" s="9"/>
      <c r="R19" s="9"/>
      <c r="S19" s="9"/>
      <c r="T19" s="9"/>
      <c r="U19" s="10" cm="1">
        <f t="array" ref="U19">R19-S19-T19</f>
        <v>0</v>
      </c>
      <c r="V19" s="11"/>
      <c r="W19" s="11"/>
    </row>
    <row r="20" spans="1:23" ht="15" customHeight="1" thickBot="1">
      <c r="A20" s="5">
        <v>46373</v>
      </c>
      <c r="B20" s="6"/>
      <c r="C20" s="6"/>
      <c r="D20" s="6"/>
      <c r="E20" s="6"/>
      <c r="F20" s="7" cm="1">
        <f t="array" ref="F20">C20-D20-E20</f>
        <v>0</v>
      </c>
      <c r="G20" s="8"/>
      <c r="H20" s="8"/>
      <c r="I20" s="8"/>
      <c r="J20" s="8"/>
      <c r="K20" s="7" cm="1">
        <f t="array" ref="K20">H20-I20-J20</f>
        <v>0</v>
      </c>
      <c r="L20" s="9"/>
      <c r="M20" s="9"/>
      <c r="N20" s="9"/>
      <c r="O20" s="9"/>
      <c r="P20" s="10" cm="1">
        <f t="array" ref="P20">M20-N20-O20</f>
        <v>0</v>
      </c>
      <c r="Q20" s="9"/>
      <c r="R20" s="9"/>
      <c r="S20" s="9"/>
      <c r="T20" s="9"/>
      <c r="U20" s="10" cm="1">
        <f t="array" ref="U20">R20-S20-T20</f>
        <v>0</v>
      </c>
      <c r="V20" s="11"/>
      <c r="W20" s="11"/>
    </row>
    <row r="21" spans="1:23" ht="15" customHeight="1" thickBot="1">
      <c r="A21" s="5">
        <v>46374</v>
      </c>
      <c r="B21" s="6"/>
      <c r="C21" s="6"/>
      <c r="D21" s="6"/>
      <c r="E21" s="6"/>
      <c r="F21" s="7" cm="1">
        <f t="array" ref="F21">C21-D21-E21</f>
        <v>0</v>
      </c>
      <c r="G21" s="8"/>
      <c r="H21" s="8"/>
      <c r="I21" s="8"/>
      <c r="J21" s="8"/>
      <c r="K21" s="7" cm="1">
        <f t="array" ref="K21">H21-I21-J21</f>
        <v>0</v>
      </c>
      <c r="L21" s="9"/>
      <c r="M21" s="9"/>
      <c r="N21" s="9"/>
      <c r="O21" s="9"/>
      <c r="P21" s="10" cm="1">
        <f t="array" ref="P21">M21-N21-O21</f>
        <v>0</v>
      </c>
      <c r="Q21" s="9"/>
      <c r="R21" s="9"/>
      <c r="S21" s="9"/>
      <c r="T21" s="9"/>
      <c r="U21" s="10" cm="1">
        <f t="array" ref="U21">R21-S21-T21</f>
        <v>0</v>
      </c>
      <c r="V21" s="11"/>
      <c r="W21" s="11"/>
    </row>
    <row r="22" spans="1:23" ht="15" customHeight="1" thickBot="1">
      <c r="A22" s="5">
        <v>46375</v>
      </c>
      <c r="B22" s="6"/>
      <c r="C22" s="6"/>
      <c r="D22" s="6"/>
      <c r="E22" s="6"/>
      <c r="F22" s="7" cm="1">
        <f t="array" ref="F22">C22-D22-E22</f>
        <v>0</v>
      </c>
      <c r="G22" s="8"/>
      <c r="H22" s="8"/>
      <c r="I22" s="8"/>
      <c r="J22" s="8"/>
      <c r="K22" s="7" cm="1">
        <f t="array" ref="K22">H22-I22-J22</f>
        <v>0</v>
      </c>
      <c r="L22" s="9"/>
      <c r="M22" s="9"/>
      <c r="N22" s="9"/>
      <c r="O22" s="9"/>
      <c r="P22" s="10" cm="1">
        <f t="array" ref="P22">M22-N22-O22</f>
        <v>0</v>
      </c>
      <c r="Q22" s="9"/>
      <c r="R22" s="9"/>
      <c r="S22" s="9"/>
      <c r="T22" s="9"/>
      <c r="U22" s="10" cm="1">
        <f t="array" ref="U22">R22-S22-T22</f>
        <v>0</v>
      </c>
      <c r="V22" s="11"/>
      <c r="W22" s="11"/>
    </row>
    <row r="23" spans="1:23" ht="15" customHeight="1" thickBot="1">
      <c r="A23" s="5">
        <v>46376</v>
      </c>
      <c r="B23" s="6"/>
      <c r="C23" s="6"/>
      <c r="D23" s="6"/>
      <c r="E23" s="6"/>
      <c r="F23" s="7" cm="1">
        <f t="array" ref="F23">C23-D23-E23</f>
        <v>0</v>
      </c>
      <c r="G23" s="8"/>
      <c r="H23" s="8"/>
      <c r="I23" s="8"/>
      <c r="J23" s="8"/>
      <c r="K23" s="7" cm="1">
        <f t="array" ref="K23">H23-I23-J23</f>
        <v>0</v>
      </c>
      <c r="L23" s="9"/>
      <c r="M23" s="9"/>
      <c r="N23" s="9"/>
      <c r="O23" s="9"/>
      <c r="P23" s="10" cm="1">
        <f t="array" ref="P23">M23-N23-O23</f>
        <v>0</v>
      </c>
      <c r="Q23" s="9"/>
      <c r="R23" s="9"/>
      <c r="S23" s="9"/>
      <c r="T23" s="9"/>
      <c r="U23" s="10" cm="1">
        <f t="array" ref="U23">R23-S23-T23</f>
        <v>0</v>
      </c>
      <c r="V23" s="11"/>
      <c r="W23" s="11"/>
    </row>
    <row r="24" spans="1:23" ht="15" customHeight="1" thickBot="1">
      <c r="A24" s="5">
        <v>46377</v>
      </c>
      <c r="B24" s="6"/>
      <c r="C24" s="6"/>
      <c r="D24" s="6"/>
      <c r="E24" s="6"/>
      <c r="F24" s="7" cm="1">
        <f t="array" ref="F24">C24-D24-E24</f>
        <v>0</v>
      </c>
      <c r="G24" s="8"/>
      <c r="H24" s="8"/>
      <c r="I24" s="8"/>
      <c r="J24" s="8"/>
      <c r="K24" s="7" cm="1">
        <f t="array" ref="K24">H24-I24-J24</f>
        <v>0</v>
      </c>
      <c r="L24" s="9"/>
      <c r="M24" s="9"/>
      <c r="N24" s="9"/>
      <c r="O24" s="9"/>
      <c r="P24" s="10" cm="1">
        <f t="array" ref="P24">M24-N24-O24</f>
        <v>0</v>
      </c>
      <c r="Q24" s="9"/>
      <c r="R24" s="9"/>
      <c r="S24" s="9"/>
      <c r="T24" s="9"/>
      <c r="U24" s="10" cm="1">
        <f t="array" ref="U24">R24-S24-T24</f>
        <v>0</v>
      </c>
      <c r="V24" s="11"/>
      <c r="W24" s="11"/>
    </row>
    <row r="25" spans="1:23" ht="15" customHeight="1" thickBot="1">
      <c r="A25" s="5">
        <v>46378</v>
      </c>
      <c r="B25" s="6"/>
      <c r="C25" s="6"/>
      <c r="D25" s="6"/>
      <c r="E25" s="6"/>
      <c r="F25" s="7" cm="1">
        <f t="array" ref="F25">C25-D25-E25</f>
        <v>0</v>
      </c>
      <c r="G25" s="8"/>
      <c r="H25" s="8"/>
      <c r="I25" s="8"/>
      <c r="J25" s="8"/>
      <c r="K25" s="7" cm="1">
        <f t="array" ref="K25">H25-I25-J25</f>
        <v>0</v>
      </c>
      <c r="L25" s="9"/>
      <c r="M25" s="9"/>
      <c r="N25" s="9"/>
      <c r="O25" s="9"/>
      <c r="P25" s="10" cm="1">
        <f t="array" ref="P25">M25-N25-O25</f>
        <v>0</v>
      </c>
      <c r="Q25" s="9"/>
      <c r="R25" s="9"/>
      <c r="S25" s="9"/>
      <c r="T25" s="9"/>
      <c r="U25" s="10" cm="1">
        <f t="array" ref="U25">R25-S25-T25</f>
        <v>0</v>
      </c>
      <c r="V25" s="11"/>
      <c r="W25" s="11"/>
    </row>
    <row r="26" spans="1:23" ht="15" customHeight="1" thickBot="1">
      <c r="A26" s="5">
        <v>46379</v>
      </c>
      <c r="B26" s="6"/>
      <c r="C26" s="6"/>
      <c r="D26" s="6"/>
      <c r="E26" s="6"/>
      <c r="F26" s="7" cm="1">
        <f t="array" ref="F26">C26-D26-E26</f>
        <v>0</v>
      </c>
      <c r="G26" s="8"/>
      <c r="H26" s="8"/>
      <c r="I26" s="8"/>
      <c r="J26" s="8"/>
      <c r="K26" s="7" cm="1">
        <f t="array" ref="K26">H26-I26-J26</f>
        <v>0</v>
      </c>
      <c r="L26" s="9"/>
      <c r="M26" s="9"/>
      <c r="N26" s="9"/>
      <c r="O26" s="9"/>
      <c r="P26" s="10" cm="1">
        <f t="array" ref="P26">M26-N26-O26</f>
        <v>0</v>
      </c>
      <c r="Q26" s="9"/>
      <c r="R26" s="9"/>
      <c r="S26" s="9"/>
      <c r="T26" s="9"/>
      <c r="U26" s="10" cm="1">
        <f t="array" ref="U26">R26-S26-T26</f>
        <v>0</v>
      </c>
      <c r="V26" s="11"/>
      <c r="W26" s="11"/>
    </row>
    <row r="27" spans="1:23" ht="15" customHeight="1" thickBot="1">
      <c r="A27" s="5">
        <v>46380</v>
      </c>
      <c r="B27" s="6"/>
      <c r="C27" s="6"/>
      <c r="D27" s="6"/>
      <c r="E27" s="6"/>
      <c r="F27" s="7" cm="1">
        <f t="array" ref="F27">C27-D27-E27</f>
        <v>0</v>
      </c>
      <c r="G27" s="8"/>
      <c r="H27" s="8"/>
      <c r="I27" s="8"/>
      <c r="J27" s="8"/>
      <c r="K27" s="7" cm="1">
        <f t="array" ref="K27">H27-I27-J27</f>
        <v>0</v>
      </c>
      <c r="L27" s="9"/>
      <c r="M27" s="9"/>
      <c r="N27" s="9"/>
      <c r="O27" s="9"/>
      <c r="P27" s="10" cm="1">
        <f t="array" ref="P27">M27-N27-O27</f>
        <v>0</v>
      </c>
      <c r="Q27" s="9"/>
      <c r="R27" s="9"/>
      <c r="S27" s="9"/>
      <c r="T27" s="9"/>
      <c r="U27" s="10" cm="1">
        <f t="array" ref="U27">R27-S27-T27</f>
        <v>0</v>
      </c>
      <c r="V27" s="11"/>
      <c r="W27" s="11"/>
    </row>
    <row r="28" spans="1:23" ht="15" customHeight="1" thickBot="1">
      <c r="A28" s="5">
        <v>46381</v>
      </c>
      <c r="B28" s="6"/>
      <c r="C28" s="6"/>
      <c r="D28" s="6"/>
      <c r="E28" s="6"/>
      <c r="F28" s="7" cm="1">
        <f t="array" ref="F28">C28-D28-E28</f>
        <v>0</v>
      </c>
      <c r="G28" s="8"/>
      <c r="H28" s="8"/>
      <c r="I28" s="8"/>
      <c r="J28" s="8"/>
      <c r="K28" s="7" cm="1">
        <f t="array" ref="K28">H28-I28-J28</f>
        <v>0</v>
      </c>
      <c r="L28" s="9"/>
      <c r="M28" s="9"/>
      <c r="N28" s="9"/>
      <c r="O28" s="9"/>
      <c r="P28" s="10" cm="1">
        <f t="array" ref="P28">M28-N28-O28</f>
        <v>0</v>
      </c>
      <c r="Q28" s="9"/>
      <c r="R28" s="9"/>
      <c r="S28" s="9"/>
      <c r="T28" s="9"/>
      <c r="U28" s="10" cm="1">
        <f t="array" ref="U28">R28-S28-T28</f>
        <v>0</v>
      </c>
      <c r="V28" s="11"/>
      <c r="W28" s="11"/>
    </row>
    <row r="29" spans="1:23" ht="15" customHeight="1" thickBot="1">
      <c r="A29" s="5">
        <v>46382</v>
      </c>
      <c r="B29" s="6"/>
      <c r="C29" s="6"/>
      <c r="D29" s="6"/>
      <c r="E29" s="6"/>
      <c r="F29" s="7" cm="1">
        <f t="array" ref="F29">C29-D29-E29</f>
        <v>0</v>
      </c>
      <c r="G29" s="8"/>
      <c r="H29" s="8"/>
      <c r="I29" s="8"/>
      <c r="J29" s="8"/>
      <c r="K29" s="7" cm="1">
        <f t="array" ref="K29">H29-I29-J29</f>
        <v>0</v>
      </c>
      <c r="L29" s="9"/>
      <c r="M29" s="9"/>
      <c r="N29" s="9"/>
      <c r="O29" s="9"/>
      <c r="P29" s="10" cm="1">
        <f t="array" ref="P29">M29-N29-O29</f>
        <v>0</v>
      </c>
      <c r="Q29" s="9"/>
      <c r="R29" s="9"/>
      <c r="S29" s="9"/>
      <c r="T29" s="9"/>
      <c r="U29" s="10" cm="1">
        <f t="array" ref="U29">R29-S29-T29</f>
        <v>0</v>
      </c>
      <c r="V29" s="11"/>
      <c r="W29" s="11"/>
    </row>
    <row r="30" spans="1:23" ht="15" customHeight="1" thickBot="1">
      <c r="A30" s="5">
        <v>46383</v>
      </c>
      <c r="B30" s="6"/>
      <c r="C30" s="6"/>
      <c r="D30" s="6"/>
      <c r="E30" s="6"/>
      <c r="F30" s="7" cm="1">
        <f t="array" ref="F30">C30-D30-E30</f>
        <v>0</v>
      </c>
      <c r="G30" s="8"/>
      <c r="H30" s="8"/>
      <c r="I30" s="8"/>
      <c r="J30" s="8"/>
      <c r="K30" s="7" cm="1">
        <f t="array" ref="K30">H30-I30-J30</f>
        <v>0</v>
      </c>
      <c r="L30" s="9"/>
      <c r="M30" s="9"/>
      <c r="N30" s="9"/>
      <c r="O30" s="9"/>
      <c r="P30" s="10" cm="1">
        <f t="array" ref="P30">M30-N30-O30</f>
        <v>0</v>
      </c>
      <c r="Q30" s="9"/>
      <c r="R30" s="9"/>
      <c r="S30" s="9"/>
      <c r="T30" s="9"/>
      <c r="U30" s="10" cm="1">
        <f t="array" ref="U30">R30-S30-T30</f>
        <v>0</v>
      </c>
      <c r="V30" s="11"/>
      <c r="W30" s="11"/>
    </row>
    <row r="31" spans="1:23" ht="15" customHeight="1" thickBot="1">
      <c r="A31" s="5">
        <v>46384</v>
      </c>
      <c r="B31" s="6"/>
      <c r="C31" s="6"/>
      <c r="D31" s="6"/>
      <c r="E31" s="6"/>
      <c r="F31" s="7" cm="1">
        <f t="array" ref="F31">C31-D31-E31</f>
        <v>0</v>
      </c>
      <c r="G31" s="8"/>
      <c r="H31" s="8"/>
      <c r="I31" s="8"/>
      <c r="J31" s="8"/>
      <c r="K31" s="7" cm="1">
        <f t="array" ref="K31">H31-I31-J31</f>
        <v>0</v>
      </c>
      <c r="L31" s="9"/>
      <c r="M31" s="9"/>
      <c r="N31" s="9"/>
      <c r="O31" s="9"/>
      <c r="P31" s="10" cm="1">
        <f t="array" ref="P31">M31-N31-O31</f>
        <v>0</v>
      </c>
      <c r="Q31" s="9"/>
      <c r="R31" s="9"/>
      <c r="S31" s="9"/>
      <c r="T31" s="9"/>
      <c r="U31" s="10" cm="1">
        <f t="array" ref="U31">R31-S31-T31</f>
        <v>0</v>
      </c>
      <c r="V31" s="11"/>
      <c r="W31" s="11"/>
    </row>
    <row r="32" spans="1:23" ht="15" customHeight="1" thickBot="1">
      <c r="A32" s="5">
        <v>46385</v>
      </c>
      <c r="B32" s="6"/>
      <c r="C32" s="6"/>
      <c r="D32" s="6"/>
      <c r="E32" s="6"/>
      <c r="F32" s="7" cm="1">
        <f t="array" ref="F32">C32-D32-E32</f>
        <v>0</v>
      </c>
      <c r="G32" s="8"/>
      <c r="H32" s="8"/>
      <c r="I32" s="8"/>
      <c r="J32" s="8"/>
      <c r="K32" s="7" cm="1">
        <f t="array" ref="K32">H32-I32-J32</f>
        <v>0</v>
      </c>
      <c r="L32" s="9"/>
      <c r="M32" s="9"/>
      <c r="N32" s="9"/>
      <c r="O32" s="9"/>
      <c r="P32" s="10" cm="1">
        <f t="array" ref="P32">M32-N32-O32</f>
        <v>0</v>
      </c>
      <c r="Q32" s="9"/>
      <c r="R32" s="9"/>
      <c r="S32" s="9"/>
      <c r="T32" s="9"/>
      <c r="U32" s="10" cm="1">
        <f t="array" ref="U32">R32-S32-T32</f>
        <v>0</v>
      </c>
      <c r="V32" s="11"/>
      <c r="W32" s="11"/>
    </row>
    <row r="33" spans="1:23" ht="15" customHeight="1" thickBot="1">
      <c r="A33" s="5">
        <v>46386</v>
      </c>
      <c r="B33" s="6"/>
      <c r="C33" s="6"/>
      <c r="D33" s="6"/>
      <c r="E33" s="6"/>
      <c r="F33" s="7" cm="1">
        <f t="array" ref="F33">C33-D33-E33</f>
        <v>0</v>
      </c>
      <c r="G33" s="8"/>
      <c r="H33" s="8"/>
      <c r="I33" s="8"/>
      <c r="J33" s="8"/>
      <c r="K33" s="7" cm="1">
        <f t="array" ref="K33">H33-I33-J33</f>
        <v>0</v>
      </c>
      <c r="L33" s="9"/>
      <c r="M33" s="9"/>
      <c r="N33" s="9"/>
      <c r="O33" s="9"/>
      <c r="P33" s="10" cm="1">
        <f t="array" ref="P33">M33-N33-O33</f>
        <v>0</v>
      </c>
      <c r="Q33" s="9"/>
      <c r="R33" s="9"/>
      <c r="S33" s="9"/>
      <c r="T33" s="9"/>
      <c r="U33" s="10" cm="1">
        <f t="array" ref="U33">R33-S33-T33</f>
        <v>0</v>
      </c>
      <c r="V33" s="11"/>
      <c r="W33" s="11"/>
    </row>
    <row r="34" spans="1:23" ht="15" customHeight="1" thickBot="1">
      <c r="A34" s="5">
        <v>46387</v>
      </c>
      <c r="B34" s="6"/>
      <c r="C34" s="6"/>
      <c r="D34" s="6"/>
      <c r="E34" s="6"/>
      <c r="F34" s="7" cm="1">
        <f t="array" ref="F34">C34-D34-E34</f>
        <v>0</v>
      </c>
      <c r="G34" s="8"/>
      <c r="H34" s="8"/>
      <c r="I34" s="8"/>
      <c r="J34" s="8"/>
      <c r="K34" s="7" cm="1">
        <f t="array" ref="K34">H34-I34-J34</f>
        <v>0</v>
      </c>
      <c r="L34" s="9"/>
      <c r="M34" s="9"/>
      <c r="N34" s="9"/>
      <c r="O34" s="9"/>
      <c r="P34" s="10" cm="1">
        <f t="array" ref="P34">M34-N34-O34</f>
        <v>0</v>
      </c>
      <c r="Q34" s="9"/>
      <c r="R34" s="9"/>
      <c r="S34" s="9"/>
      <c r="T34" s="9"/>
      <c r="U34" s="10" cm="1">
        <f t="array" ref="U34">R34-S34-T34</f>
        <v>0</v>
      </c>
      <c r="V34" s="11"/>
      <c r="W34" s="11"/>
    </row>
    <row r="35" spans="1:23" ht="15" customHeight="1" thickBot="1">
      <c r="A35" s="12" t="s">
        <v>12</v>
      </c>
      <c r="B35" s="13">
        <v>1134100</v>
      </c>
      <c r="C35" s="13" cm="1">
        <f t="array" ref="C35">SUM(C4:C34)</f>
        <v>0</v>
      </c>
      <c r="D35" s="13" cm="1">
        <f t="array" ref="D35">SUM(D4:D34)</f>
        <v>0</v>
      </c>
      <c r="E35" s="13" cm="1">
        <f t="array" ref="E35">SUM(E4:E34)</f>
        <v>0</v>
      </c>
      <c r="F35" s="14" cm="1">
        <f t="array" ref="F35">C35-D35-E35</f>
        <v>0</v>
      </c>
      <c r="G35" s="15">
        <v>1517550</v>
      </c>
      <c r="H35" s="15" cm="1">
        <f t="array" ref="H35">SUM(H4:H34)</f>
        <v>0</v>
      </c>
      <c r="I35" s="15" cm="1">
        <f t="array" ref="I35">SUM(I4:I34)</f>
        <v>0</v>
      </c>
      <c r="J35" s="15" cm="1">
        <f t="array" ref="J35">SUM(J4:J34)</f>
        <v>0</v>
      </c>
      <c r="K35" s="14" cm="1">
        <f t="array" ref="K35">H35-I35-J35</f>
        <v>0</v>
      </c>
      <c r="L35" s="16">
        <v>982800</v>
      </c>
      <c r="M35" s="16" cm="1">
        <f t="array" ref="M35">SUM(M4:M34)</f>
        <v>0</v>
      </c>
      <c r="N35" s="16" cm="1">
        <f t="array" ref="N35">SUM(N4:N34)</f>
        <v>0</v>
      </c>
      <c r="O35" s="16" cm="1">
        <f t="array" ref="O35">SUM(O4:O34)</f>
        <v>0</v>
      </c>
      <c r="P35" s="17" cm="1">
        <f t="array" ref="P35">M35-N35-O35</f>
        <v>0</v>
      </c>
      <c r="Q35" s="16"/>
      <c r="R35" s="16">
        <f>SUM(R4:R33)</f>
        <v>0</v>
      </c>
      <c r="S35" s="16" cm="1">
        <f t="array" ref="S35">SUM(S4:S33)</f>
        <v>0</v>
      </c>
      <c r="T35" s="16" cm="1">
        <f t="array" ref="T35">SUM(T4:T33)</f>
        <v>0</v>
      </c>
      <c r="U35" s="17" cm="1">
        <f t="array" ref="U35">R35-S35-T35</f>
        <v>0</v>
      </c>
      <c r="V35" s="11" cm="1">
        <f t="array" ref="V35">SUM(F35,K35,P35)</f>
        <v>0</v>
      </c>
      <c r="W35" s="11">
        <v>31500</v>
      </c>
    </row>
  </sheetData>
  <mergeCells count="23">
    <mergeCell ref="A1:A3"/>
    <mergeCell ref="B1:F1"/>
    <mergeCell ref="G1:K1"/>
    <mergeCell ref="L1:P1"/>
    <mergeCell ref="V1:V3"/>
    <mergeCell ref="N2:O2"/>
    <mergeCell ref="P2:P3"/>
    <mergeCell ref="G2:G3"/>
    <mergeCell ref="H2:H3"/>
    <mergeCell ref="I2:J2"/>
    <mergeCell ref="K2:K3"/>
    <mergeCell ref="L2:L3"/>
    <mergeCell ref="M2:M3"/>
    <mergeCell ref="Q1:U1"/>
    <mergeCell ref="Q2:Q3"/>
    <mergeCell ref="R2:R3"/>
    <mergeCell ref="W1:W3"/>
    <mergeCell ref="B2:B3"/>
    <mergeCell ref="C2:C3"/>
    <mergeCell ref="D2:E2"/>
    <mergeCell ref="F2:F3"/>
    <mergeCell ref="S2:T2"/>
    <mergeCell ref="U2:U3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Февраль 2026</vt:lpstr>
      <vt:lpstr>Март 2026</vt:lpstr>
      <vt:lpstr>Апрель 2026</vt:lpstr>
      <vt:lpstr>Май 2026</vt:lpstr>
      <vt:lpstr>Июнь 2026</vt:lpstr>
      <vt:lpstr>Июль 2026</vt:lpstr>
      <vt:lpstr>Август 2026</vt:lpstr>
      <vt:lpstr>Сентябрь 2026</vt:lpstr>
      <vt:lpstr>Оетябрь 2026</vt:lpstr>
      <vt:lpstr>Ноябрь 2026</vt:lpstr>
      <vt:lpstr>Декабрь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Soltn</dc:creator>
  <cp:lastModifiedBy>Nikita Soltn</cp:lastModifiedBy>
  <dcterms:created xsi:type="dcterms:W3CDTF">2026-03-11T13:38:08Z</dcterms:created>
  <dcterms:modified xsi:type="dcterms:W3CDTF">2026-03-11T13:43:42Z</dcterms:modified>
</cp:coreProperties>
</file>